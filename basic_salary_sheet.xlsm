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ipu\Projects\Data Analysis Project Showcase\"/>
    </mc:Choice>
  </mc:AlternateContent>
  <xr:revisionPtr revIDLastSave="0" documentId="13_ncr:1_{B4257D23-A988-4F9E-87A9-7B8374F71842}" xr6:coauthVersionLast="47" xr6:coauthVersionMax="47" xr10:uidLastSave="{00000000-0000-0000-0000-000000000000}"/>
  <bookViews>
    <workbookView xWindow="-120" yWindow="-120" windowWidth="24240" windowHeight="13020" xr2:uid="{87461E42-739E-497D-BC86-6846F538E5B5}"/>
  </bookViews>
  <sheets>
    <sheet name="Sheet1" sheetId="1" r:id="rId1"/>
  </sheets>
  <definedNames>
    <definedName name="_xlnm.Print_Area" localSheetId="0">Sheet1!$A$5:$D$18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" l="1"/>
  <c r="J27" i="1"/>
  <c r="J28" i="1"/>
  <c r="J29" i="1"/>
  <c r="J30" i="1"/>
  <c r="J31" i="1"/>
  <c r="J32" i="1"/>
  <c r="J33" i="1"/>
  <c r="J34" i="1"/>
  <c r="I26" i="1"/>
  <c r="M26" i="1" s="1"/>
  <c r="I27" i="1"/>
  <c r="I28" i="1"/>
  <c r="I29" i="1"/>
  <c r="I30" i="1"/>
  <c r="M30" i="1" s="1"/>
  <c r="I31" i="1"/>
  <c r="I32" i="1"/>
  <c r="I33" i="1"/>
  <c r="I34" i="1"/>
  <c r="M34" i="1" s="1"/>
  <c r="H26" i="1"/>
  <c r="H27" i="1"/>
  <c r="H28" i="1"/>
  <c r="H29" i="1"/>
  <c r="H30" i="1"/>
  <c r="H31" i="1"/>
  <c r="H32" i="1"/>
  <c r="H33" i="1"/>
  <c r="H34" i="1"/>
  <c r="G26" i="1"/>
  <c r="G27" i="1"/>
  <c r="G28" i="1"/>
  <c r="G29" i="1"/>
  <c r="G30" i="1"/>
  <c r="G31" i="1"/>
  <c r="G32" i="1"/>
  <c r="G33" i="1"/>
  <c r="G34" i="1"/>
  <c r="F26" i="1"/>
  <c r="F27" i="1"/>
  <c r="F28" i="1"/>
  <c r="F29" i="1"/>
  <c r="F30" i="1"/>
  <c r="F31" i="1"/>
  <c r="F32" i="1"/>
  <c r="F33" i="1"/>
  <c r="F34" i="1"/>
  <c r="E26" i="1"/>
  <c r="E27" i="1"/>
  <c r="E28" i="1"/>
  <c r="E29" i="1"/>
  <c r="E30" i="1"/>
  <c r="E31" i="1"/>
  <c r="E32" i="1"/>
  <c r="E33" i="1"/>
  <c r="E34" i="1"/>
  <c r="D26" i="1"/>
  <c r="D27" i="1"/>
  <c r="D28" i="1"/>
  <c r="D29" i="1"/>
  <c r="D30" i="1"/>
  <c r="D31" i="1"/>
  <c r="D32" i="1"/>
  <c r="D33" i="1"/>
  <c r="D34" i="1"/>
  <c r="E25" i="1"/>
  <c r="F25" i="1"/>
  <c r="G25" i="1"/>
  <c r="H25" i="1"/>
  <c r="I25" i="1"/>
  <c r="J25" i="1"/>
  <c r="D25" i="1"/>
  <c r="A26" i="1"/>
  <c r="A27" i="1" s="1"/>
  <c r="A28" i="1" s="1"/>
  <c r="A29" i="1" s="1"/>
  <c r="B14" i="1" s="1"/>
  <c r="D12" i="1" l="1"/>
  <c r="M32" i="1"/>
  <c r="M28" i="1"/>
  <c r="B10" i="1"/>
  <c r="M31" i="1"/>
  <c r="M27" i="1"/>
  <c r="B11" i="1"/>
  <c r="B15" i="1"/>
  <c r="B12" i="1"/>
  <c r="D10" i="1"/>
  <c r="B13" i="1"/>
  <c r="D11" i="1"/>
  <c r="L33" i="1"/>
  <c r="L29" i="1"/>
  <c r="M33" i="1"/>
  <c r="M29" i="1"/>
  <c r="L28" i="1"/>
  <c r="M25" i="1"/>
  <c r="D16" i="1" s="1"/>
  <c r="L31" i="1"/>
  <c r="L27" i="1"/>
  <c r="N27" i="1" s="1"/>
  <c r="L34" i="1"/>
  <c r="L30" i="1"/>
  <c r="L26" i="1"/>
  <c r="L32" i="1"/>
  <c r="N32" i="1" s="1"/>
  <c r="N34" i="1"/>
  <c r="N30" i="1"/>
  <c r="N26" i="1"/>
  <c r="A30" i="1"/>
  <c r="A31" i="1" s="1"/>
  <c r="A32" i="1" s="1"/>
  <c r="A33" i="1" s="1"/>
  <c r="A34" i="1" s="1"/>
  <c r="B8" i="1"/>
  <c r="L25" i="1"/>
  <c r="N25" i="1" s="1"/>
  <c r="C18" i="1" s="1"/>
  <c r="N28" i="1" l="1"/>
  <c r="B16" i="1"/>
  <c r="N31" i="1"/>
  <c r="N29" i="1"/>
  <c r="N33" i="1"/>
</calcChain>
</file>

<file path=xl/sharedStrings.xml><?xml version="1.0" encoding="utf-8"?>
<sst xmlns="http://schemas.openxmlformats.org/spreadsheetml/2006/main" count="46" uniqueCount="38">
  <si>
    <t>Basic Salary Sheet</t>
  </si>
  <si>
    <t>Prepared by: Wasikul Amin Bipu</t>
  </si>
  <si>
    <t>email: wasikulaminbipu@gmail.com</t>
  </si>
  <si>
    <t>ID No</t>
  </si>
  <si>
    <t>Name</t>
  </si>
  <si>
    <t>Basic Salary</t>
  </si>
  <si>
    <t>House Rent</t>
  </si>
  <si>
    <t>TA</t>
  </si>
  <si>
    <t>DA</t>
  </si>
  <si>
    <t xml:space="preserve">Medical </t>
  </si>
  <si>
    <t>Other</t>
  </si>
  <si>
    <t>Advanced</t>
  </si>
  <si>
    <t>Provident Fund</t>
  </si>
  <si>
    <t>Income TAX</t>
  </si>
  <si>
    <t>Total Salary</t>
  </si>
  <si>
    <t>Net Salary</t>
  </si>
  <si>
    <t>Salehin Ahmed</t>
  </si>
  <si>
    <t>Deduction</t>
  </si>
  <si>
    <t>Fazlur Rahman</t>
  </si>
  <si>
    <t>Sabbirul Islam</t>
  </si>
  <si>
    <t>Sadek Reza</t>
  </si>
  <si>
    <t>Bulbul Ahmed</t>
  </si>
  <si>
    <t>Mithu Rahman</t>
  </si>
  <si>
    <t>Kabila Sukur</t>
  </si>
  <si>
    <t>Sakil Reza</t>
  </si>
  <si>
    <t>Sakil Mohammad</t>
  </si>
  <si>
    <t>Kafrul Selim</t>
  </si>
  <si>
    <t>Atech Developers Ltd.</t>
  </si>
  <si>
    <t>Salary Slip</t>
  </si>
  <si>
    <t>Salary</t>
  </si>
  <si>
    <t>Medical Allowance</t>
  </si>
  <si>
    <t>Transport Allowance</t>
  </si>
  <si>
    <t>Daily Allowance</t>
  </si>
  <si>
    <t>Other Allowances</t>
  </si>
  <si>
    <t>Advanced Pay</t>
  </si>
  <si>
    <t>Total Deduction</t>
  </si>
  <si>
    <t>Total Payable</t>
  </si>
  <si>
    <t>Salary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</si>
</sst>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0"/>
      <name val="Bookman Old Style"/>
      <family val="1"/>
    </font>
    <font>
      <b/>
      <sz val="14"/>
      <color theme="1"/>
      <name val="Aptos Narrow"/>
      <family val="2"/>
      <scheme val="minor"/>
    </font>
    <font>
      <sz val="20"/>
      <color theme="1"/>
      <name val="Bookman Old Style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Arial Narrow"/>
      <family val="2"/>
    </font>
    <font>
      <sz val="16"/>
      <color theme="1"/>
      <name val="Arial Narrow"/>
      <family val="2"/>
    </font>
    <font>
      <b/>
      <sz val="20"/>
      <color theme="0"/>
      <name val="Bookman Old Style"/>
      <family val="1"/>
    </font>
    <font>
      <b/>
      <sz val="14"/>
      <color theme="0" tint="-0.14999847407452621"/>
      <name val="Times New Roman"/>
      <family val="1"/>
    </font>
    <font>
      <sz val="18"/>
      <color theme="1"/>
      <name val="Bookman Old Style"/>
      <family val="1"/>
    </font>
    <font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4">
    <xf numFmtId="0" fontId="0" fillId="0" borderId="0" xfId="0"/>
    <xf numFmtId="44" fontId="0" fillId="0" borderId="0" xfId="1" applyFont="1" applyBorder="1"/>
    <xf numFmtId="0" fontId="5" fillId="4" borderId="18" xfId="4" applyFont="1" applyBorder="1"/>
    <xf numFmtId="9" fontId="2" fillId="3" borderId="19" xfId="3" applyNumberFormat="1" applyFont="1" applyBorder="1"/>
    <xf numFmtId="0" fontId="0" fillId="0" borderId="20" xfId="0" applyBorder="1"/>
    <xf numFmtId="0" fontId="0" fillId="0" borderId="24" xfId="0" applyBorder="1"/>
    <xf numFmtId="0" fontId="0" fillId="0" borderId="22" xfId="0" applyBorder="1"/>
    <xf numFmtId="0" fontId="6" fillId="0" borderId="0" xfId="0" applyFont="1"/>
    <xf numFmtId="44" fontId="6" fillId="0" borderId="0" xfId="1" applyFont="1" applyBorder="1"/>
    <xf numFmtId="0" fontId="8" fillId="0" borderId="4" xfId="0" applyFont="1" applyBorder="1"/>
    <xf numFmtId="44" fontId="8" fillId="0" borderId="2" xfId="1" applyFont="1" applyBorder="1"/>
    <xf numFmtId="0" fontId="8" fillId="0" borderId="5" xfId="0" applyFont="1" applyBorder="1"/>
    <xf numFmtId="44" fontId="8" fillId="0" borderId="3" xfId="1" applyFont="1" applyBorder="1"/>
    <xf numFmtId="0" fontId="7" fillId="0" borderId="1" xfId="0" applyFont="1" applyBorder="1"/>
    <xf numFmtId="44" fontId="7" fillId="0" borderId="1" xfId="1" applyFont="1" applyBorder="1"/>
    <xf numFmtId="0" fontId="9" fillId="0" borderId="23" xfId="0" applyFont="1" applyBorder="1"/>
    <xf numFmtId="0" fontId="10" fillId="0" borderId="20" xfId="0" applyFont="1" applyBorder="1" applyAlignment="1">
      <alignment horizontal="left"/>
    </xf>
    <xf numFmtId="0" fontId="9" fillId="0" borderId="21" xfId="0" applyFont="1" applyBorder="1"/>
    <xf numFmtId="0" fontId="10" fillId="0" borderId="0" xfId="0" applyFont="1"/>
    <xf numFmtId="0" fontId="8" fillId="0" borderId="6" xfId="0" applyFont="1" applyBorder="1"/>
    <xf numFmtId="164" fontId="8" fillId="0" borderId="5" xfId="1" applyNumberFormat="1" applyFont="1" applyBorder="1"/>
    <xf numFmtId="164" fontId="8" fillId="0" borderId="4" xfId="1" applyNumberFormat="1" applyFont="1" applyBorder="1"/>
    <xf numFmtId="164" fontId="8" fillId="0" borderId="7" xfId="1" applyNumberFormat="1" applyFont="1" applyBorder="1"/>
    <xf numFmtId="0" fontId="8" fillId="0" borderId="8" xfId="0" applyFont="1" applyBorder="1"/>
    <xf numFmtId="0" fontId="8" fillId="0" borderId="9" xfId="0" applyFont="1" applyBorder="1"/>
    <xf numFmtId="164" fontId="8" fillId="0" borderId="9" xfId="1" applyNumberFormat="1" applyFont="1" applyBorder="1"/>
    <xf numFmtId="164" fontId="8" fillId="0" borderId="10" xfId="1" applyNumberFormat="1" applyFont="1" applyBorder="1"/>
    <xf numFmtId="0" fontId="4" fillId="5" borderId="0" xfId="5" applyFont="1" applyAlignment="1">
      <alignment horizontal="center"/>
    </xf>
    <xf numFmtId="0" fontId="13" fillId="7" borderId="0" xfId="7" applyFont="1" applyAlignment="1">
      <alignment horizontal="center"/>
    </xf>
    <xf numFmtId="0" fontId="14" fillId="6" borderId="0" xfId="6" applyFont="1" applyAlignment="1">
      <alignment horizontal="center"/>
    </xf>
    <xf numFmtId="0" fontId="4" fillId="2" borderId="11" xfId="2" applyFont="1" applyBorder="1" applyAlignment="1">
      <alignment horizontal="center"/>
    </xf>
    <xf numFmtId="0" fontId="4" fillId="2" borderId="12" xfId="2" applyFont="1" applyBorder="1" applyAlignment="1">
      <alignment horizontal="center"/>
    </xf>
    <xf numFmtId="0" fontId="4" fillId="2" borderId="13" xfId="2" applyFont="1" applyBorder="1" applyAlignment="1">
      <alignment horizontal="center"/>
    </xf>
    <xf numFmtId="0" fontId="11" fillId="8" borderId="21" xfId="0" applyFont="1" applyFill="1" applyBorder="1" applyAlignment="1">
      <alignment horizontal="center"/>
    </xf>
    <xf numFmtId="0" fontId="11" fillId="8" borderId="0" xfId="0" applyFont="1" applyFill="1" applyAlignment="1">
      <alignment horizontal="center"/>
    </xf>
    <xf numFmtId="0" fontId="11" fillId="8" borderId="22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12" fillId="8" borderId="0" xfId="0" applyFont="1" applyFill="1" applyAlignment="1">
      <alignment horizontal="center"/>
    </xf>
    <xf numFmtId="0" fontId="12" fillId="8" borderId="22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5" fillId="4" borderId="14" xfId="4" applyFont="1" applyBorder="1" applyAlignment="1">
      <alignment horizontal="center" vertical="center"/>
    </xf>
    <xf numFmtId="0" fontId="5" fillId="4" borderId="15" xfId="4" applyFont="1" applyBorder="1" applyAlignment="1">
      <alignment horizontal="center" vertical="center"/>
    </xf>
    <xf numFmtId="0" fontId="5" fillId="4" borderId="16" xfId="4" applyFont="1" applyBorder="1" applyAlignment="1">
      <alignment horizontal="center" vertical="center"/>
    </xf>
    <xf numFmtId="0" fontId="5" fillId="4" borderId="17" xfId="4" applyFont="1" applyBorder="1" applyAlignment="1">
      <alignment horizontal="center" vertical="center"/>
    </xf>
  </cellXfs>
  <cellStyles count="8">
    <cellStyle name="40% - Accent4" xfId="3" builtinId="43"/>
    <cellStyle name="40% - Accent5" xfId="6" builtinId="47"/>
    <cellStyle name="60% - Accent4" xfId="4" builtinId="44"/>
    <cellStyle name="60% - Accent5" xfId="7" builtinId="48"/>
    <cellStyle name="Accent4" xfId="2" builtinId="41"/>
    <cellStyle name="Accent5" xfId="5" builtinId="45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18</xdr:row>
          <xdr:rowOff>95250</xdr:rowOff>
        </xdr:from>
        <xdr:to>
          <xdr:col>3</xdr:col>
          <xdr:colOff>952500</xdr:colOff>
          <xdr:row>20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18</xdr:row>
          <xdr:rowOff>123825</xdr:rowOff>
        </xdr:from>
        <xdr:to>
          <xdr:col>2</xdr:col>
          <xdr:colOff>990600</xdr:colOff>
          <xdr:row>20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EF08-77B0-49B8-8CF4-E58D7E2C9995}">
  <sheetPr codeName="Sheet1"/>
  <dimension ref="A1:N34"/>
  <sheetViews>
    <sheetView tabSelected="1" zoomScaleNormal="100" workbookViewId="0">
      <selection activeCell="A5" sqref="A5:D18"/>
    </sheetView>
  </sheetViews>
  <sheetFormatPr defaultRowHeight="15" x14ac:dyDescent="0.25"/>
  <cols>
    <col min="1" max="1" width="24.140625" bestFit="1" customWidth="1"/>
    <col min="2" max="2" width="27.7109375" bestFit="1" customWidth="1"/>
    <col min="3" max="3" width="24.140625" bestFit="1" customWidth="1"/>
    <col min="4" max="4" width="14.42578125" bestFit="1" customWidth="1"/>
    <col min="5" max="8" width="9.28515625" bestFit="1" customWidth="1"/>
    <col min="9" max="9" width="18.28515625" bestFit="1" customWidth="1"/>
    <col min="10" max="10" width="14.5703125" bestFit="1" customWidth="1"/>
    <col min="11" max="11" width="12.28515625" bestFit="1" customWidth="1"/>
    <col min="12" max="12" width="14.140625" bestFit="1" customWidth="1"/>
    <col min="13" max="13" width="13" bestFit="1" customWidth="1"/>
    <col min="14" max="14" width="12.42578125" bestFit="1" customWidth="1"/>
  </cols>
  <sheetData>
    <row r="1" spans="1:14" ht="27.75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23.25" x14ac:dyDescent="0.35">
      <c r="A2" s="28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ht="18.75" x14ac:dyDescent="0.3">
      <c r="A3" s="29" t="s">
        <v>2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</row>
    <row r="5" spans="1:14" ht="26.25" x14ac:dyDescent="0.4">
      <c r="A5" s="33" t="s">
        <v>27</v>
      </c>
      <c r="B5" s="34"/>
      <c r="C5" s="34"/>
      <c r="D5" s="35"/>
    </row>
    <row r="6" spans="1:14" ht="18.75" x14ac:dyDescent="0.3">
      <c r="A6" s="36" t="s">
        <v>28</v>
      </c>
      <c r="B6" s="37"/>
      <c r="C6" s="37"/>
      <c r="D6" s="38"/>
    </row>
    <row r="7" spans="1:14" ht="20.25" x14ac:dyDescent="0.3">
      <c r="A7" s="15" t="s">
        <v>3</v>
      </c>
      <c r="B7" s="16">
        <v>105</v>
      </c>
      <c r="C7" s="4"/>
      <c r="D7" s="5"/>
    </row>
    <row r="8" spans="1:14" ht="20.25" x14ac:dyDescent="0.3">
      <c r="A8" s="17" t="s">
        <v>4</v>
      </c>
      <c r="B8" s="18" t="str">
        <f>_xlfn.XLOOKUP(B7,A25:A34,B25:B34,"Employee Not Found!",0,2)</f>
        <v>Bulbul Ahmed</v>
      </c>
      <c r="D8" s="6"/>
    </row>
    <row r="9" spans="1:14" ht="18.75" x14ac:dyDescent="0.3">
      <c r="A9" s="39" t="s">
        <v>29</v>
      </c>
      <c r="B9" s="39"/>
      <c r="C9" s="39" t="s">
        <v>17</v>
      </c>
      <c r="D9" s="39"/>
    </row>
    <row r="10" spans="1:14" ht="18.75" x14ac:dyDescent="0.3">
      <c r="A10" s="9" t="s">
        <v>5</v>
      </c>
      <c r="B10" s="10">
        <f>_xlfn.XLOOKUP(B7,A25:A34,C25:C34,0,0,2)</f>
        <v>1800</v>
      </c>
      <c r="C10" s="9" t="s">
        <v>12</v>
      </c>
      <c r="D10" s="10">
        <f>_xlfn.XLOOKUP(B7,A25:A34,I25:I34,0,0,2)</f>
        <v>180</v>
      </c>
    </row>
    <row r="11" spans="1:14" ht="18.75" x14ac:dyDescent="0.3">
      <c r="A11" s="11" t="s">
        <v>6</v>
      </c>
      <c r="B11" s="12">
        <f>_xlfn.XLOOKUP(B7,A25:A34,D25:D34,0,0,2)</f>
        <v>720</v>
      </c>
      <c r="C11" s="11" t="s">
        <v>13</v>
      </c>
      <c r="D11" s="12">
        <f>_xlfn.XLOOKUP(B7,A25:A34,J25:J34,0,0,2)</f>
        <v>270</v>
      </c>
    </row>
    <row r="12" spans="1:14" ht="18.75" x14ac:dyDescent="0.3">
      <c r="A12" s="11" t="s">
        <v>31</v>
      </c>
      <c r="B12" s="12">
        <f>_xlfn.XLOOKUP(B7,A25:A34,E25:E34,0,0,2)</f>
        <v>180</v>
      </c>
      <c r="C12" s="11" t="s">
        <v>34</v>
      </c>
      <c r="D12" s="12">
        <f>_xlfn.XLOOKUP(B7,A25:A34,K25:K34,0,0,2)</f>
        <v>600</v>
      </c>
    </row>
    <row r="13" spans="1:14" ht="18.75" x14ac:dyDescent="0.3">
      <c r="A13" s="11" t="s">
        <v>32</v>
      </c>
      <c r="B13" s="12">
        <f>_xlfn.XLOOKUP(B7,A25:A34,F25:F34,0,0,2)</f>
        <v>90</v>
      </c>
      <c r="C13" s="11"/>
      <c r="D13" s="12"/>
    </row>
    <row r="14" spans="1:14" ht="18.75" x14ac:dyDescent="0.3">
      <c r="A14" s="11" t="s">
        <v>30</v>
      </c>
      <c r="B14" s="12">
        <f>_xlfn.XLOOKUP(B7,A25:A34,G25:G34,0,0,2)</f>
        <v>36</v>
      </c>
      <c r="C14" s="11"/>
      <c r="D14" s="12"/>
    </row>
    <row r="15" spans="1:14" ht="18.75" x14ac:dyDescent="0.3">
      <c r="A15" s="11" t="s">
        <v>33</v>
      </c>
      <c r="B15" s="12">
        <f>_xlfn.XLOOKUP(B7,A25:A34,H25:H34,0,0,2)</f>
        <v>18</v>
      </c>
      <c r="C15" s="11"/>
      <c r="D15" s="12"/>
    </row>
    <row r="16" spans="1:14" ht="18.75" x14ac:dyDescent="0.3">
      <c r="A16" s="13" t="s">
        <v>14</v>
      </c>
      <c r="B16" s="14">
        <f>_xlfn.XLOOKUP(B7,A25:A34,L25:L34,0,0,2)</f>
        <v>2844</v>
      </c>
      <c r="C16" s="13" t="s">
        <v>35</v>
      </c>
      <c r="D16" s="14">
        <f>_xlfn.XLOOKUP(B7,A25:A34,M25:M34,0,0,2)</f>
        <v>1050</v>
      </c>
    </row>
    <row r="18" spans="1:14" ht="25.5" x14ac:dyDescent="0.35">
      <c r="B18" s="7" t="s">
        <v>36</v>
      </c>
      <c r="C18" s="8">
        <f>_xlfn.XLOOKUP(B7,A25:A34,N25:N34,0,0,2)</f>
        <v>1794</v>
      </c>
    </row>
    <row r="19" spans="1:14" x14ac:dyDescent="0.25">
      <c r="C19" s="1"/>
    </row>
    <row r="20" spans="1:14" x14ac:dyDescent="0.25">
      <c r="C20" s="1"/>
    </row>
    <row r="21" spans="1:14" ht="15.75" thickBot="1" x14ac:dyDescent="0.3">
      <c r="C21" s="1"/>
    </row>
    <row r="22" spans="1:14" ht="28.5" thickBot="1" x14ac:dyDescent="0.45">
      <c r="A22" s="30" t="s">
        <v>37</v>
      </c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2"/>
    </row>
    <row r="23" spans="1:14" ht="18.75" x14ac:dyDescent="0.3">
      <c r="A23" s="40" t="s">
        <v>3</v>
      </c>
      <c r="B23" s="40" t="s">
        <v>4</v>
      </c>
      <c r="C23" s="40" t="s">
        <v>5</v>
      </c>
      <c r="D23" s="2" t="s">
        <v>6</v>
      </c>
      <c r="E23" s="2" t="s">
        <v>7</v>
      </c>
      <c r="F23" s="2" t="s">
        <v>8</v>
      </c>
      <c r="G23" s="2" t="s">
        <v>9</v>
      </c>
      <c r="H23" s="2" t="s">
        <v>10</v>
      </c>
      <c r="I23" s="2" t="s">
        <v>12</v>
      </c>
      <c r="J23" s="2" t="s">
        <v>13</v>
      </c>
      <c r="K23" s="40" t="s">
        <v>11</v>
      </c>
      <c r="L23" s="40" t="s">
        <v>14</v>
      </c>
      <c r="M23" s="42" t="s">
        <v>17</v>
      </c>
      <c r="N23" s="40" t="s">
        <v>15</v>
      </c>
    </row>
    <row r="24" spans="1:14" ht="15.75" thickBot="1" x14ac:dyDescent="0.3">
      <c r="A24" s="41"/>
      <c r="B24" s="41"/>
      <c r="C24" s="41"/>
      <c r="D24" s="3">
        <v>0.4</v>
      </c>
      <c r="E24" s="3">
        <v>0.1</v>
      </c>
      <c r="F24" s="3">
        <v>0.05</v>
      </c>
      <c r="G24" s="3">
        <v>0.02</v>
      </c>
      <c r="H24" s="3">
        <v>0.01</v>
      </c>
      <c r="I24" s="3">
        <v>0.1</v>
      </c>
      <c r="J24" s="3">
        <v>0.15</v>
      </c>
      <c r="K24" s="41"/>
      <c r="L24" s="41"/>
      <c r="M24" s="43"/>
      <c r="N24" s="41"/>
    </row>
    <row r="25" spans="1:14" ht="18.75" x14ac:dyDescent="0.3">
      <c r="A25" s="19">
        <v>101</v>
      </c>
      <c r="B25" s="11" t="s">
        <v>16</v>
      </c>
      <c r="C25" s="20">
        <v>3200</v>
      </c>
      <c r="D25" s="20">
        <f>$C25*D$24</f>
        <v>1280</v>
      </c>
      <c r="E25" s="20">
        <f t="shared" ref="E25:J34" si="0">$C25*E$24</f>
        <v>320</v>
      </c>
      <c r="F25" s="20">
        <f t="shared" si="0"/>
        <v>160</v>
      </c>
      <c r="G25" s="20">
        <f t="shared" si="0"/>
        <v>64</v>
      </c>
      <c r="H25" s="20">
        <f t="shared" si="0"/>
        <v>32</v>
      </c>
      <c r="I25" s="20">
        <f t="shared" si="0"/>
        <v>320</v>
      </c>
      <c r="J25" s="20">
        <f t="shared" si="0"/>
        <v>480</v>
      </c>
      <c r="K25" s="20">
        <v>900</v>
      </c>
      <c r="L25" s="20">
        <f>SUM(C25:H25)</f>
        <v>5056</v>
      </c>
      <c r="M25" s="21">
        <f>SUM(I25:K25)</f>
        <v>1700</v>
      </c>
      <c r="N25" s="22">
        <f>L25-M25</f>
        <v>3356</v>
      </c>
    </row>
    <row r="26" spans="1:14" ht="18.75" x14ac:dyDescent="0.3">
      <c r="A26" s="19">
        <f>A25+1</f>
        <v>102</v>
      </c>
      <c r="B26" s="11" t="s">
        <v>18</v>
      </c>
      <c r="C26" s="20">
        <v>2800</v>
      </c>
      <c r="D26" s="20">
        <f t="shared" ref="D26:D34" si="1">$C26*D$24</f>
        <v>1120</v>
      </c>
      <c r="E26" s="20">
        <f t="shared" si="0"/>
        <v>280</v>
      </c>
      <c r="F26" s="20">
        <f t="shared" si="0"/>
        <v>140</v>
      </c>
      <c r="G26" s="20">
        <f t="shared" si="0"/>
        <v>56</v>
      </c>
      <c r="H26" s="20">
        <f t="shared" si="0"/>
        <v>28</v>
      </c>
      <c r="I26" s="20">
        <f t="shared" si="0"/>
        <v>280</v>
      </c>
      <c r="J26" s="20">
        <f t="shared" si="0"/>
        <v>420</v>
      </c>
      <c r="K26" s="20">
        <v>300</v>
      </c>
      <c r="L26" s="20">
        <f t="shared" ref="L26:L34" si="2">SUM(C26:H26)</f>
        <v>4424</v>
      </c>
      <c r="M26" s="20">
        <f t="shared" ref="M26:M34" si="3">SUM(I26:K26)</f>
        <v>1000</v>
      </c>
      <c r="N26" s="22">
        <f t="shared" ref="N26:N34" si="4">L26-M26</f>
        <v>3424</v>
      </c>
    </row>
    <row r="27" spans="1:14" ht="18.75" x14ac:dyDescent="0.3">
      <c r="A27" s="19">
        <f t="shared" ref="A27:A34" si="5">A26+1</f>
        <v>103</v>
      </c>
      <c r="B27" s="11" t="s">
        <v>19</v>
      </c>
      <c r="C27" s="20">
        <v>4600</v>
      </c>
      <c r="D27" s="20">
        <f t="shared" si="1"/>
        <v>1840</v>
      </c>
      <c r="E27" s="20">
        <f t="shared" si="0"/>
        <v>460</v>
      </c>
      <c r="F27" s="20">
        <f t="shared" si="0"/>
        <v>230</v>
      </c>
      <c r="G27" s="20">
        <f t="shared" si="0"/>
        <v>92</v>
      </c>
      <c r="H27" s="20">
        <f t="shared" si="0"/>
        <v>46</v>
      </c>
      <c r="I27" s="20">
        <f t="shared" si="0"/>
        <v>460</v>
      </c>
      <c r="J27" s="20">
        <f t="shared" si="0"/>
        <v>690</v>
      </c>
      <c r="K27" s="20">
        <v>600</v>
      </c>
      <c r="L27" s="20">
        <f t="shared" si="2"/>
        <v>7268</v>
      </c>
      <c r="M27" s="20">
        <f t="shared" si="3"/>
        <v>1750</v>
      </c>
      <c r="N27" s="22">
        <f t="shared" si="4"/>
        <v>5518</v>
      </c>
    </row>
    <row r="28" spans="1:14" ht="18.75" x14ac:dyDescent="0.3">
      <c r="A28" s="19">
        <f t="shared" si="5"/>
        <v>104</v>
      </c>
      <c r="B28" s="11" t="s">
        <v>20</v>
      </c>
      <c r="C28" s="20">
        <v>1200</v>
      </c>
      <c r="D28" s="20">
        <f t="shared" si="1"/>
        <v>480</v>
      </c>
      <c r="E28" s="20">
        <f t="shared" si="0"/>
        <v>120</v>
      </c>
      <c r="F28" s="20">
        <f t="shared" si="0"/>
        <v>60</v>
      </c>
      <c r="G28" s="20">
        <f t="shared" si="0"/>
        <v>24</v>
      </c>
      <c r="H28" s="20">
        <f t="shared" si="0"/>
        <v>12</v>
      </c>
      <c r="I28" s="20">
        <f t="shared" si="0"/>
        <v>120</v>
      </c>
      <c r="J28" s="20">
        <f t="shared" si="0"/>
        <v>180</v>
      </c>
      <c r="K28" s="20">
        <v>100</v>
      </c>
      <c r="L28" s="20">
        <f t="shared" si="2"/>
        <v>1896</v>
      </c>
      <c r="M28" s="20">
        <f t="shared" si="3"/>
        <v>400</v>
      </c>
      <c r="N28" s="22">
        <f t="shared" si="4"/>
        <v>1496</v>
      </c>
    </row>
    <row r="29" spans="1:14" ht="18.75" x14ac:dyDescent="0.3">
      <c r="A29" s="19">
        <f t="shared" si="5"/>
        <v>105</v>
      </c>
      <c r="B29" s="11" t="s">
        <v>21</v>
      </c>
      <c r="C29" s="20">
        <v>1800</v>
      </c>
      <c r="D29" s="20">
        <f t="shared" si="1"/>
        <v>720</v>
      </c>
      <c r="E29" s="20">
        <f t="shared" si="0"/>
        <v>180</v>
      </c>
      <c r="F29" s="20">
        <f t="shared" si="0"/>
        <v>90</v>
      </c>
      <c r="G29" s="20">
        <f t="shared" si="0"/>
        <v>36</v>
      </c>
      <c r="H29" s="20">
        <f t="shared" si="0"/>
        <v>18</v>
      </c>
      <c r="I29" s="20">
        <f t="shared" si="0"/>
        <v>180</v>
      </c>
      <c r="J29" s="20">
        <f t="shared" si="0"/>
        <v>270</v>
      </c>
      <c r="K29" s="20">
        <v>600</v>
      </c>
      <c r="L29" s="20">
        <f t="shared" si="2"/>
        <v>2844</v>
      </c>
      <c r="M29" s="20">
        <f t="shared" si="3"/>
        <v>1050</v>
      </c>
      <c r="N29" s="22">
        <f t="shared" si="4"/>
        <v>1794</v>
      </c>
    </row>
    <row r="30" spans="1:14" ht="18.75" x14ac:dyDescent="0.3">
      <c r="A30" s="19">
        <f t="shared" si="5"/>
        <v>106</v>
      </c>
      <c r="B30" s="11" t="s">
        <v>22</v>
      </c>
      <c r="C30" s="20">
        <v>2900</v>
      </c>
      <c r="D30" s="20">
        <f t="shared" si="1"/>
        <v>1160</v>
      </c>
      <c r="E30" s="20">
        <f t="shared" si="0"/>
        <v>290</v>
      </c>
      <c r="F30" s="20">
        <f t="shared" si="0"/>
        <v>145</v>
      </c>
      <c r="G30" s="20">
        <f t="shared" si="0"/>
        <v>58</v>
      </c>
      <c r="H30" s="20">
        <f t="shared" si="0"/>
        <v>29</v>
      </c>
      <c r="I30" s="20">
        <f t="shared" si="0"/>
        <v>290</v>
      </c>
      <c r="J30" s="20">
        <f t="shared" si="0"/>
        <v>435</v>
      </c>
      <c r="K30" s="20">
        <v>150</v>
      </c>
      <c r="L30" s="20">
        <f t="shared" si="2"/>
        <v>4582</v>
      </c>
      <c r="M30" s="20">
        <f t="shared" si="3"/>
        <v>875</v>
      </c>
      <c r="N30" s="22">
        <f t="shared" si="4"/>
        <v>3707</v>
      </c>
    </row>
    <row r="31" spans="1:14" ht="18.75" x14ac:dyDescent="0.3">
      <c r="A31" s="19">
        <f t="shared" si="5"/>
        <v>107</v>
      </c>
      <c r="B31" s="11" t="s">
        <v>23</v>
      </c>
      <c r="C31" s="20">
        <v>3100</v>
      </c>
      <c r="D31" s="20">
        <f t="shared" si="1"/>
        <v>1240</v>
      </c>
      <c r="E31" s="20">
        <f t="shared" si="0"/>
        <v>310</v>
      </c>
      <c r="F31" s="20">
        <f t="shared" si="0"/>
        <v>155</v>
      </c>
      <c r="G31" s="20">
        <f t="shared" si="0"/>
        <v>62</v>
      </c>
      <c r="H31" s="20">
        <f t="shared" si="0"/>
        <v>31</v>
      </c>
      <c r="I31" s="20">
        <f t="shared" si="0"/>
        <v>310</v>
      </c>
      <c r="J31" s="20">
        <f t="shared" si="0"/>
        <v>465</v>
      </c>
      <c r="K31" s="20">
        <v>0</v>
      </c>
      <c r="L31" s="20">
        <f t="shared" si="2"/>
        <v>4898</v>
      </c>
      <c r="M31" s="20">
        <f t="shared" si="3"/>
        <v>775</v>
      </c>
      <c r="N31" s="22">
        <f t="shared" si="4"/>
        <v>4123</v>
      </c>
    </row>
    <row r="32" spans="1:14" ht="18.75" x14ac:dyDescent="0.3">
      <c r="A32" s="19">
        <f t="shared" si="5"/>
        <v>108</v>
      </c>
      <c r="B32" s="11" t="s">
        <v>24</v>
      </c>
      <c r="C32" s="20">
        <v>2800</v>
      </c>
      <c r="D32" s="20">
        <f t="shared" si="1"/>
        <v>1120</v>
      </c>
      <c r="E32" s="20">
        <f t="shared" si="0"/>
        <v>280</v>
      </c>
      <c r="F32" s="20">
        <f t="shared" si="0"/>
        <v>140</v>
      </c>
      <c r="G32" s="20">
        <f t="shared" si="0"/>
        <v>56</v>
      </c>
      <c r="H32" s="20">
        <f t="shared" si="0"/>
        <v>28</v>
      </c>
      <c r="I32" s="20">
        <f t="shared" si="0"/>
        <v>280</v>
      </c>
      <c r="J32" s="20">
        <f t="shared" si="0"/>
        <v>420</v>
      </c>
      <c r="K32" s="20">
        <v>50</v>
      </c>
      <c r="L32" s="20">
        <f t="shared" si="2"/>
        <v>4424</v>
      </c>
      <c r="M32" s="20">
        <f t="shared" si="3"/>
        <v>750</v>
      </c>
      <c r="N32" s="22">
        <f t="shared" si="4"/>
        <v>3674</v>
      </c>
    </row>
    <row r="33" spans="1:14" ht="18.75" x14ac:dyDescent="0.3">
      <c r="A33" s="19">
        <f t="shared" si="5"/>
        <v>109</v>
      </c>
      <c r="B33" s="11" t="s">
        <v>25</v>
      </c>
      <c r="C33" s="20">
        <v>3900</v>
      </c>
      <c r="D33" s="20">
        <f t="shared" si="1"/>
        <v>1560</v>
      </c>
      <c r="E33" s="20">
        <f t="shared" si="0"/>
        <v>390</v>
      </c>
      <c r="F33" s="20">
        <f t="shared" si="0"/>
        <v>195</v>
      </c>
      <c r="G33" s="20">
        <f t="shared" si="0"/>
        <v>78</v>
      </c>
      <c r="H33" s="20">
        <f t="shared" si="0"/>
        <v>39</v>
      </c>
      <c r="I33" s="20">
        <f t="shared" si="0"/>
        <v>390</v>
      </c>
      <c r="J33" s="20">
        <f t="shared" si="0"/>
        <v>585</v>
      </c>
      <c r="K33" s="20">
        <v>10</v>
      </c>
      <c r="L33" s="20">
        <f t="shared" si="2"/>
        <v>6162</v>
      </c>
      <c r="M33" s="20">
        <f t="shared" si="3"/>
        <v>985</v>
      </c>
      <c r="N33" s="22">
        <f t="shared" si="4"/>
        <v>5177</v>
      </c>
    </row>
    <row r="34" spans="1:14" ht="19.5" thickBot="1" x14ac:dyDescent="0.35">
      <c r="A34" s="23">
        <f t="shared" si="5"/>
        <v>110</v>
      </c>
      <c r="B34" s="24" t="s">
        <v>26</v>
      </c>
      <c r="C34" s="25">
        <v>3000</v>
      </c>
      <c r="D34" s="25">
        <f t="shared" si="1"/>
        <v>1200</v>
      </c>
      <c r="E34" s="25">
        <f t="shared" si="0"/>
        <v>300</v>
      </c>
      <c r="F34" s="25">
        <f t="shared" si="0"/>
        <v>150</v>
      </c>
      <c r="G34" s="25">
        <f t="shared" si="0"/>
        <v>60</v>
      </c>
      <c r="H34" s="25">
        <f t="shared" si="0"/>
        <v>30</v>
      </c>
      <c r="I34" s="25">
        <f t="shared" si="0"/>
        <v>300</v>
      </c>
      <c r="J34" s="25">
        <f t="shared" si="0"/>
        <v>450</v>
      </c>
      <c r="K34" s="25">
        <v>0</v>
      </c>
      <c r="L34" s="25">
        <f t="shared" si="2"/>
        <v>4740</v>
      </c>
      <c r="M34" s="25">
        <f t="shared" si="3"/>
        <v>750</v>
      </c>
      <c r="N34" s="26">
        <f t="shared" si="4"/>
        <v>3990</v>
      </c>
    </row>
  </sheetData>
  <mergeCells count="15">
    <mergeCell ref="N23:N24"/>
    <mergeCell ref="A23:A24"/>
    <mergeCell ref="B23:B24"/>
    <mergeCell ref="C23:C24"/>
    <mergeCell ref="K23:K24"/>
    <mergeCell ref="L23:L24"/>
    <mergeCell ref="M23:M24"/>
    <mergeCell ref="A1:N1"/>
    <mergeCell ref="A2:N2"/>
    <mergeCell ref="A3:N3"/>
    <mergeCell ref="A22:N22"/>
    <mergeCell ref="A5:D5"/>
    <mergeCell ref="A6:D6"/>
    <mergeCell ref="A9:B9"/>
    <mergeCell ref="C9:D9"/>
  </mergeCells>
  <pageMargins left="0.7" right="0.7" top="0.75" bottom="0.75" header="0.3" footer="0.3"/>
  <pageSetup paperSize="9" scale="95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Slip">
                <anchor moveWithCells="1" sizeWithCells="1">
                  <from>
                    <xdr:col>2</xdr:col>
                    <xdr:colOff>1047750</xdr:colOff>
                    <xdr:row>18</xdr:row>
                    <xdr:rowOff>95250</xdr:rowOff>
                  </from>
                  <to>
                    <xdr:col>3</xdr:col>
                    <xdr:colOff>952500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Register">
                <anchor moveWithCells="1" sizeWithCells="1">
                  <from>
                    <xdr:col>1</xdr:col>
                    <xdr:colOff>1466850</xdr:colOff>
                    <xdr:row>18</xdr:row>
                    <xdr:rowOff>123825</xdr:rowOff>
                  </from>
                  <to>
                    <xdr:col>2</xdr:col>
                    <xdr:colOff>990600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Wasikul Amin Bipu</dc:creator>
  <cp:lastModifiedBy>Wasikul Amin Bipu</cp:lastModifiedBy>
  <cp:lastPrinted>2024-02-20T14:30:48Z</cp:lastPrinted>
  <dcterms:created xsi:type="dcterms:W3CDTF">2024-02-20T12:20:41Z</dcterms:created>
  <dcterms:modified xsi:type="dcterms:W3CDTF">2024-02-20T14:31:05Z</dcterms:modified>
</cp:coreProperties>
</file>