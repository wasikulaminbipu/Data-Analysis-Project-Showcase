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ipu\Projects\Data Analysis Project Showcase\"/>
    </mc:Choice>
  </mc:AlternateContent>
  <xr:revisionPtr revIDLastSave="0" documentId="8_{5EDE7682-8A37-4263-A7E1-5C1B555B6581}" xr6:coauthVersionLast="47" xr6:coauthVersionMax="47" xr10:uidLastSave="{00000000-0000-0000-0000-000000000000}"/>
  <bookViews>
    <workbookView xWindow="-120" yWindow="-120" windowWidth="24240" windowHeight="13020" xr2:uid="{C4A9B97B-013E-4206-B508-0E6C00395DD0}"/>
  </bookViews>
  <sheets>
    <sheet name="Sheet1" sheetId="1" r:id="rId1"/>
  </sheets>
  <definedNames>
    <definedName name="_xlnm.Print_Area" localSheetId="0">Sheet1!$I$6:$P$16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1" l="1"/>
  <c r="K11" i="1" s="1"/>
  <c r="E25" i="1"/>
  <c r="E26" i="1"/>
  <c r="E27" i="1"/>
  <c r="E28" i="1"/>
  <c r="E29" i="1"/>
  <c r="E30" i="1"/>
  <c r="E31" i="1"/>
  <c r="E32" i="1"/>
  <c r="E23" i="1"/>
  <c r="N24" i="1"/>
  <c r="N25" i="1"/>
  <c r="N26" i="1"/>
  <c r="N27" i="1"/>
  <c r="N28" i="1"/>
  <c r="N29" i="1"/>
  <c r="N30" i="1"/>
  <c r="N31" i="1"/>
  <c r="N32" i="1"/>
  <c r="M24" i="1"/>
  <c r="M25" i="1"/>
  <c r="M26" i="1"/>
  <c r="M27" i="1"/>
  <c r="M28" i="1"/>
  <c r="M29" i="1"/>
  <c r="M30" i="1"/>
  <c r="M31" i="1"/>
  <c r="M32" i="1"/>
  <c r="L24" i="1"/>
  <c r="L25" i="1"/>
  <c r="L26" i="1"/>
  <c r="L27" i="1"/>
  <c r="L28" i="1"/>
  <c r="L29" i="1"/>
  <c r="L30" i="1"/>
  <c r="L31" i="1"/>
  <c r="L32" i="1"/>
  <c r="K24" i="1"/>
  <c r="K25" i="1"/>
  <c r="K26" i="1"/>
  <c r="K27" i="1"/>
  <c r="K28" i="1"/>
  <c r="K29" i="1"/>
  <c r="K30" i="1"/>
  <c r="K31" i="1"/>
  <c r="K32" i="1"/>
  <c r="N23" i="1"/>
  <c r="M12" i="1" s="1"/>
  <c r="M23" i="1"/>
  <c r="L12" i="1" s="1"/>
  <c r="L23" i="1"/>
  <c r="K12" i="1" s="1"/>
  <c r="K23" i="1"/>
  <c r="G24" i="1"/>
  <c r="G25" i="1"/>
  <c r="G26" i="1"/>
  <c r="G27" i="1"/>
  <c r="G28" i="1"/>
  <c r="G29" i="1"/>
  <c r="G30" i="1"/>
  <c r="G31" i="1"/>
  <c r="G32" i="1"/>
  <c r="G23" i="1"/>
  <c r="F24" i="1"/>
  <c r="F25" i="1"/>
  <c r="F26" i="1"/>
  <c r="F27" i="1"/>
  <c r="F28" i="1"/>
  <c r="F29" i="1"/>
  <c r="F30" i="1"/>
  <c r="F31" i="1"/>
  <c r="F32" i="1"/>
  <c r="F23" i="1"/>
  <c r="D24" i="1"/>
  <c r="D25" i="1"/>
  <c r="D26" i="1"/>
  <c r="D27" i="1"/>
  <c r="D28" i="1"/>
  <c r="D29" i="1"/>
  <c r="D30" i="1"/>
  <c r="D31" i="1"/>
  <c r="D32" i="1"/>
  <c r="D23" i="1"/>
  <c r="J8" i="1"/>
  <c r="G8" i="1"/>
  <c r="G9" i="1"/>
  <c r="M11" i="1" l="1"/>
  <c r="L11" i="1"/>
  <c r="O32" i="1"/>
  <c r="P32" i="1" s="1"/>
  <c r="Q32" i="1" s="1"/>
  <c r="O28" i="1"/>
  <c r="P28" i="1" s="1"/>
  <c r="Q28" i="1" s="1"/>
  <c r="O24" i="1"/>
  <c r="P24" i="1" s="1"/>
  <c r="Q24" i="1" s="1"/>
  <c r="O29" i="1"/>
  <c r="P29" i="1" s="1"/>
  <c r="Q29" i="1" s="1"/>
  <c r="O25" i="1"/>
  <c r="P25" i="1" s="1"/>
  <c r="Q25" i="1" s="1"/>
  <c r="O30" i="1"/>
  <c r="P30" i="1" s="1"/>
  <c r="Q30" i="1" s="1"/>
  <c r="O26" i="1"/>
  <c r="P26" i="1" s="1"/>
  <c r="Q26" i="1" s="1"/>
  <c r="O31" i="1"/>
  <c r="P31" i="1" s="1"/>
  <c r="Q31" i="1" s="1"/>
  <c r="O27" i="1"/>
  <c r="P27" i="1" s="1"/>
  <c r="Q27" i="1" s="1"/>
  <c r="O23" i="1"/>
  <c r="P23" i="1" s="1"/>
  <c r="J12" i="1"/>
  <c r="H28" i="1"/>
  <c r="I28" i="1" s="1"/>
  <c r="J28" i="1" s="1"/>
  <c r="H29" i="1"/>
  <c r="I29" i="1" s="1"/>
  <c r="J29" i="1" s="1"/>
  <c r="H23" i="1"/>
  <c r="H25" i="1"/>
  <c r="I25" i="1" s="1"/>
  <c r="J25" i="1" s="1"/>
  <c r="H32" i="1"/>
  <c r="I32" i="1" s="1"/>
  <c r="J32" i="1" s="1"/>
  <c r="H24" i="1"/>
  <c r="I24" i="1" s="1"/>
  <c r="J24" i="1" s="1"/>
  <c r="H30" i="1"/>
  <c r="I30" i="1" s="1"/>
  <c r="J30" i="1" s="1"/>
  <c r="H26" i="1"/>
  <c r="I26" i="1" s="1"/>
  <c r="J26" i="1" s="1"/>
  <c r="H31" i="1"/>
  <c r="I31" i="1" s="1"/>
  <c r="J31" i="1" s="1"/>
  <c r="H27" i="1"/>
  <c r="I27" i="1" s="1"/>
  <c r="J27" i="1" s="1"/>
  <c r="J11" i="1"/>
  <c r="N11" i="1" l="1"/>
  <c r="S32" i="1"/>
  <c r="R32" i="1" s="1"/>
  <c r="S25" i="1"/>
  <c r="R25" i="1" s="1"/>
  <c r="I23" i="1"/>
  <c r="J23" i="1" s="1"/>
  <c r="S28" i="1"/>
  <c r="R28" i="1" s="1"/>
  <c r="S24" i="1"/>
  <c r="R24" i="1" s="1"/>
  <c r="S29" i="1"/>
  <c r="R29" i="1" s="1"/>
  <c r="N12" i="1"/>
  <c r="S30" i="1"/>
  <c r="R30" i="1" s="1"/>
  <c r="S26" i="1"/>
  <c r="R26" i="1" s="1"/>
  <c r="S27" i="1"/>
  <c r="R27" i="1" s="1"/>
  <c r="S31" i="1"/>
  <c r="R31" i="1" s="1"/>
  <c r="Q23" i="1"/>
  <c r="P12" i="1" s="1"/>
  <c r="O12" i="1"/>
  <c r="O11" i="1"/>
  <c r="S23" i="1" l="1"/>
  <c r="R23" i="1" s="1"/>
  <c r="P11" i="1"/>
  <c r="M14" i="1" s="1"/>
  <c r="M15" i="1" s="1"/>
</calcChain>
</file>

<file path=xl/sharedStrings.xml><?xml version="1.0" encoding="utf-8"?>
<sst xmlns="http://schemas.openxmlformats.org/spreadsheetml/2006/main" count="76" uniqueCount="56">
  <si>
    <t>Grade</t>
  </si>
  <si>
    <t>F</t>
  </si>
  <si>
    <t>D</t>
  </si>
  <si>
    <t>C</t>
  </si>
  <si>
    <t>A+</t>
  </si>
  <si>
    <t>A</t>
  </si>
  <si>
    <t>A-</t>
  </si>
  <si>
    <t>B</t>
  </si>
  <si>
    <t>B+</t>
  </si>
  <si>
    <t>B-</t>
  </si>
  <si>
    <t>C+</t>
  </si>
  <si>
    <t>Point</t>
  </si>
  <si>
    <t>Grading System Table</t>
  </si>
  <si>
    <t>Min</t>
  </si>
  <si>
    <t>Max</t>
  </si>
  <si>
    <t>Result Register</t>
  </si>
  <si>
    <t>Sl. No</t>
  </si>
  <si>
    <t>Roll No</t>
  </si>
  <si>
    <t>Full Name</t>
  </si>
  <si>
    <t>Mid Term</t>
  </si>
  <si>
    <t>CT 2</t>
  </si>
  <si>
    <t>CT 1</t>
  </si>
  <si>
    <t>Semister Final</t>
  </si>
  <si>
    <t>Total</t>
  </si>
  <si>
    <t>1st Semister</t>
  </si>
  <si>
    <t>2nd Semister</t>
  </si>
  <si>
    <t>GPA</t>
  </si>
  <si>
    <t>CGPA</t>
  </si>
  <si>
    <t>Year Total</t>
  </si>
  <si>
    <t>David</t>
  </si>
  <si>
    <t>Abid</t>
  </si>
  <si>
    <t>Duke</t>
  </si>
  <si>
    <t>Sumon</t>
  </si>
  <si>
    <t>Dunin</t>
  </si>
  <si>
    <t>Asad</t>
  </si>
  <si>
    <t>Hugo</t>
  </si>
  <si>
    <t>Halum</t>
  </si>
  <si>
    <t>Tiger</t>
  </si>
  <si>
    <t>Sude</t>
  </si>
  <si>
    <t>Result Input Form</t>
  </si>
  <si>
    <t>Name</t>
  </si>
  <si>
    <t>Sl No</t>
  </si>
  <si>
    <t>Result Input</t>
  </si>
  <si>
    <t>Semister</t>
  </si>
  <si>
    <t>Exam Name</t>
  </si>
  <si>
    <t>Mark Achieved</t>
  </si>
  <si>
    <t>"1st Semister"</t>
  </si>
  <si>
    <t>"CT 1"</t>
  </si>
  <si>
    <t>Result Sheet</t>
  </si>
  <si>
    <t>Yearly Result</t>
  </si>
  <si>
    <t>CT1</t>
  </si>
  <si>
    <t>CT2</t>
  </si>
  <si>
    <t>Final</t>
  </si>
  <si>
    <t>Basic Bulk Grade Calculator</t>
  </si>
  <si>
    <t>Created by: Wasikul Amin Bipu</t>
  </si>
  <si>
    <t>email: wasikulaminbipu@gmail.com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</si>
</sst>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25"/>
      <color theme="1"/>
      <name val="Bookman Old Style"/>
      <family val="1"/>
    </font>
    <font>
      <sz val="16"/>
      <color theme="1"/>
      <name val="Agency FB"/>
      <family val="2"/>
    </font>
    <font>
      <sz val="14"/>
      <color theme="1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6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3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6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6" fillId="12" borderId="0" applyNumberFormat="0" applyBorder="0" applyAlignment="0" applyProtection="0"/>
    <xf numFmtId="0" fontId="1" fillId="13" borderId="0" applyNumberFormat="0" applyBorder="0" applyAlignment="0" applyProtection="0"/>
    <xf numFmtId="0" fontId="6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</cellStyleXfs>
  <cellXfs count="29">
    <xf numFmtId="0" fontId="0" fillId="0" borderId="0" xfId="0"/>
    <xf numFmtId="0" fontId="6" fillId="5" borderId="0" xfId="4"/>
    <xf numFmtId="0" fontId="1" fillId="6" borderId="0" xfId="5" applyAlignment="1">
      <alignment horizontal="center"/>
    </xf>
    <xf numFmtId="0" fontId="0" fillId="4" borderId="3" xfId="3" applyFont="1"/>
    <xf numFmtId="0" fontId="1" fillId="10" borderId="0" xfId="9"/>
    <xf numFmtId="0" fontId="2" fillId="2" borderId="1" xfId="1" applyAlignment="1"/>
    <xf numFmtId="0" fontId="3" fillId="3" borderId="2" xfId="2"/>
    <xf numFmtId="0" fontId="3" fillId="3" borderId="2" xfId="2" applyAlignment="1"/>
    <xf numFmtId="0" fontId="2" fillId="2" borderId="1" xfId="1"/>
    <xf numFmtId="0" fontId="1" fillId="9" borderId="0" xfId="8"/>
    <xf numFmtId="0" fontId="6" fillId="8" borderId="0" xfId="7" applyAlignment="1">
      <alignment horizontal="center"/>
    </xf>
    <xf numFmtId="0" fontId="1" fillId="11" borderId="0" xfId="10" applyAlignment="1">
      <alignment horizontal="center"/>
    </xf>
    <xf numFmtId="0" fontId="4" fillId="12" borderId="0" xfId="11" applyFont="1" applyAlignment="1">
      <alignment horizontal="center"/>
    </xf>
    <xf numFmtId="0" fontId="5" fillId="6" borderId="0" xfId="5" applyFont="1" applyAlignment="1">
      <alignment horizontal="center"/>
    </xf>
    <xf numFmtId="0" fontId="8" fillId="5" borderId="0" xfId="4" applyFont="1" applyAlignment="1">
      <alignment horizontal="center"/>
    </xf>
    <xf numFmtId="0" fontId="5" fillId="7" borderId="0" xfId="6" applyFont="1" applyAlignment="1">
      <alignment horizontal="center"/>
    </xf>
    <xf numFmtId="0" fontId="4" fillId="5" borderId="0" xfId="4" applyFont="1" applyAlignment="1">
      <alignment horizontal="center"/>
    </xf>
    <xf numFmtId="0" fontId="6" fillId="5" borderId="0" xfId="4" applyAlignment="1">
      <alignment horizontal="center"/>
    </xf>
    <xf numFmtId="0" fontId="6" fillId="14" borderId="0" xfId="13" applyAlignment="1">
      <alignment horizontal="center"/>
    </xf>
    <xf numFmtId="0" fontId="1" fillId="15" borderId="0" xfId="14"/>
    <xf numFmtId="0" fontId="1" fillId="6" borderId="0" xfId="5"/>
    <xf numFmtId="0" fontId="1" fillId="16" borderId="0" xfId="15"/>
    <xf numFmtId="0" fontId="1" fillId="16" borderId="0" xfId="15" applyAlignment="1">
      <alignment horizontal="center" vertical="center"/>
    </xf>
    <xf numFmtId="0" fontId="1" fillId="13" borderId="0" xfId="12"/>
    <xf numFmtId="0" fontId="1" fillId="13" borderId="0" xfId="12" applyAlignment="1">
      <alignment horizontal="right"/>
    </xf>
    <xf numFmtId="0" fontId="3" fillId="3" borderId="2" xfId="2" applyAlignment="1">
      <alignment horizontal="center"/>
    </xf>
    <xf numFmtId="0" fontId="10" fillId="17" borderId="0" xfId="0" applyFont="1" applyFill="1" applyAlignment="1">
      <alignment horizontal="center"/>
    </xf>
    <xf numFmtId="0" fontId="11" fillId="18" borderId="0" xfId="0" applyFont="1" applyFill="1" applyAlignment="1">
      <alignment horizontal="center"/>
    </xf>
    <xf numFmtId="0" fontId="12" fillId="18" borderId="0" xfId="0" applyFont="1" applyFill="1" applyAlignment="1">
      <alignment horizontal="center"/>
    </xf>
  </cellXfs>
  <cellStyles count="16">
    <cellStyle name="20% - Accent1" xfId="12" builtinId="30"/>
    <cellStyle name="20% - Accent4" xfId="8" builtinId="42"/>
    <cellStyle name="40% - Accent2" xfId="5" builtinId="35"/>
    <cellStyle name="40% - Accent3" xfId="14" builtinId="39"/>
    <cellStyle name="40% - Accent4" xfId="9" builtinId="43"/>
    <cellStyle name="40% - Accent5" xfId="15" builtinId="47"/>
    <cellStyle name="60% - Accent2" xfId="6" builtinId="36"/>
    <cellStyle name="60% - Accent4" xfId="10" builtinId="44"/>
    <cellStyle name="Accent2" xfId="4" builtinId="33"/>
    <cellStyle name="Accent3" xfId="13" builtinId="37"/>
    <cellStyle name="Accent4" xfId="7" builtinId="41"/>
    <cellStyle name="Accent5" xfId="11" builtinId="45"/>
    <cellStyle name="Input" xfId="1" builtinId="20"/>
    <cellStyle name="Normal" xfId="0" builtinId="0"/>
    <cellStyle name="Note" xfId="3" builtinId="1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13</xdr:row>
          <xdr:rowOff>9525</xdr:rowOff>
        </xdr:from>
        <xdr:to>
          <xdr:col>7</xdr:col>
          <xdr:colOff>0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 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BAE226-7902-4E8E-B8A6-370BDEB3E9DB}" name="Table2" displayName="Table2" ref="A7:D17" totalsRowShown="0">
  <autoFilter ref="A7:D17" xr:uid="{F8BAE226-7902-4E8E-B8A6-370BDEB3E9DB}"/>
  <tableColumns count="4">
    <tableColumn id="1" xr3:uid="{5BE1CC6A-E002-40BC-A405-047D438CD8B5}" name="Min"/>
    <tableColumn id="2" xr3:uid="{89AD2D5F-9FF2-4C0B-86AA-A1C0D429B2D6}" name="Max"/>
    <tableColumn id="3" xr3:uid="{7803B6E8-29FC-45D0-A7A0-CED33061F8E4}" name="Grade"/>
    <tableColumn id="4" xr3:uid="{3C8EF11E-ADA3-42A1-83AF-49B73993F42F}" name="Point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DC0E0-E27D-4739-9822-E9B51BE0690B}">
  <sheetPr codeName="Sheet1"/>
  <dimension ref="A1:S32"/>
  <sheetViews>
    <sheetView tabSelected="1" workbookViewId="0">
      <selection activeCell="Q9" sqref="Q9"/>
    </sheetView>
  </sheetViews>
  <sheetFormatPr defaultRowHeight="15" x14ac:dyDescent="0.25"/>
  <cols>
    <col min="1" max="1" width="11.28515625" customWidth="1"/>
    <col min="2" max="2" width="11.5703125" customWidth="1"/>
    <col min="3" max="3" width="10" bestFit="1" customWidth="1"/>
    <col min="6" max="6" width="13.85546875" bestFit="1" customWidth="1"/>
    <col min="7" max="7" width="13.7109375" bestFit="1" customWidth="1"/>
    <col min="9" max="9" width="12.42578125" bestFit="1" customWidth="1"/>
    <col min="10" max="10" width="8.5703125" customWidth="1"/>
    <col min="11" max="11" width="12.140625" bestFit="1" customWidth="1"/>
    <col min="14" max="14" width="13.7109375" bestFit="1" customWidth="1"/>
    <col min="18" max="18" width="6.42578125" bestFit="1" customWidth="1"/>
    <col min="19" max="19" width="13.7109375" bestFit="1" customWidth="1"/>
    <col min="21" max="21" width="14.85546875" bestFit="1" customWidth="1"/>
    <col min="22" max="22" width="14" bestFit="1" customWidth="1"/>
  </cols>
  <sheetData>
    <row r="1" spans="1:19" ht="31.5" x14ac:dyDescent="0.45">
      <c r="A1" s="26" t="s">
        <v>53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</row>
    <row r="2" spans="1:19" ht="19.5" x14ac:dyDescent="0.25">
      <c r="A2" s="27" t="s">
        <v>54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19" ht="18.75" x14ac:dyDescent="0.3">
      <c r="A3" s="28" t="s">
        <v>55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</row>
    <row r="6" spans="1:19" x14ac:dyDescent="0.25">
      <c r="A6" s="12" t="s">
        <v>12</v>
      </c>
      <c r="B6" s="12"/>
      <c r="C6" s="12"/>
      <c r="D6" s="12"/>
      <c r="F6" s="10" t="s">
        <v>39</v>
      </c>
      <c r="G6" s="10"/>
      <c r="I6" s="18" t="s">
        <v>48</v>
      </c>
      <c r="J6" s="18"/>
      <c r="K6" s="18"/>
      <c r="L6" s="18"/>
      <c r="M6" s="18"/>
      <c r="N6" s="18"/>
      <c r="O6" s="18"/>
      <c r="P6" s="18"/>
    </row>
    <row r="7" spans="1:19" x14ac:dyDescent="0.25">
      <c r="A7" t="s">
        <v>13</v>
      </c>
      <c r="B7" t="s">
        <v>14</v>
      </c>
      <c r="C7" t="s">
        <v>0</v>
      </c>
      <c r="D7" t="s">
        <v>11</v>
      </c>
      <c r="F7" s="4" t="s">
        <v>17</v>
      </c>
      <c r="G7" s="5">
        <v>176</v>
      </c>
      <c r="I7" s="19" t="s">
        <v>17</v>
      </c>
      <c r="J7" s="25">
        <v>118</v>
      </c>
      <c r="K7" s="25"/>
      <c r="L7" s="25"/>
      <c r="M7" s="25"/>
      <c r="N7" s="25"/>
      <c r="O7" s="25"/>
      <c r="P7" s="25"/>
    </row>
    <row r="8" spans="1:19" x14ac:dyDescent="0.25">
      <c r="A8">
        <v>0</v>
      </c>
      <c r="B8">
        <v>39</v>
      </c>
      <c r="C8" t="s">
        <v>1</v>
      </c>
      <c r="D8">
        <v>0</v>
      </c>
      <c r="F8" s="4" t="s">
        <v>41</v>
      </c>
      <c r="G8" s="6">
        <f>_xlfn.XLOOKUP(G7,B23:B32,A23:A32,"Student Not Found!",0,2)</f>
        <v>5</v>
      </c>
      <c r="I8" s="19" t="s">
        <v>40</v>
      </c>
      <c r="J8" s="25" t="str">
        <f>_xlfn.XLOOKUP(J7,B23:B32,C23:C32,"Student Not Found",0,2)</f>
        <v>Abid</v>
      </c>
      <c r="K8" s="25"/>
      <c r="L8" s="25"/>
      <c r="M8" s="25"/>
      <c r="N8" s="25"/>
      <c r="O8" s="25"/>
      <c r="P8" s="25"/>
    </row>
    <row r="9" spans="1:19" x14ac:dyDescent="0.25">
      <c r="A9">
        <v>40</v>
      </c>
      <c r="B9">
        <v>44</v>
      </c>
      <c r="C9" t="s">
        <v>2</v>
      </c>
      <c r="D9">
        <v>2</v>
      </c>
      <c r="F9" s="4" t="s">
        <v>40</v>
      </c>
      <c r="G9" s="7" t="str">
        <f>_xlfn.XLOOKUP(G7,B23:B32,C23:C32,"Student Not Found!",0,2)</f>
        <v>Dunin</v>
      </c>
      <c r="I9" s="19"/>
      <c r="J9" s="19"/>
      <c r="K9" s="19"/>
      <c r="L9" s="19"/>
      <c r="M9" s="19"/>
      <c r="N9" s="19"/>
      <c r="O9" s="19"/>
      <c r="P9" s="19"/>
    </row>
    <row r="10" spans="1:19" x14ac:dyDescent="0.25">
      <c r="A10">
        <v>45</v>
      </c>
      <c r="B10">
        <v>49</v>
      </c>
      <c r="C10" t="s">
        <v>3</v>
      </c>
      <c r="D10">
        <v>2.25</v>
      </c>
      <c r="F10" s="11" t="s">
        <v>42</v>
      </c>
      <c r="G10" s="11"/>
      <c r="I10" s="19"/>
      <c r="J10" s="20" t="s">
        <v>50</v>
      </c>
      <c r="K10" s="20" t="s">
        <v>19</v>
      </c>
      <c r="L10" s="20" t="s">
        <v>51</v>
      </c>
      <c r="M10" s="20" t="s">
        <v>52</v>
      </c>
      <c r="N10" s="20" t="s">
        <v>23</v>
      </c>
      <c r="O10" s="20" t="s">
        <v>0</v>
      </c>
      <c r="P10" s="20" t="s">
        <v>11</v>
      </c>
    </row>
    <row r="11" spans="1:19" x14ac:dyDescent="0.25">
      <c r="A11">
        <v>50</v>
      </c>
      <c r="B11">
        <v>54</v>
      </c>
      <c r="C11" t="s">
        <v>10</v>
      </c>
      <c r="D11">
        <v>2.5</v>
      </c>
      <c r="F11" s="4" t="s">
        <v>43</v>
      </c>
      <c r="G11" s="8" t="s">
        <v>46</v>
      </c>
      <c r="I11" s="21" t="s">
        <v>24</v>
      </c>
      <c r="J11" s="6">
        <f ca="1">_xlfn.XLOOKUP($J$7,$B$23:$B$32,D$23:D$32,"0",0,2)</f>
        <v>0</v>
      </c>
      <c r="K11" s="6">
        <f t="shared" ref="K11:P11" ca="1" si="0">_xlfn.XLOOKUP($J$7,$B$23:$B$32,E$23:E$32,"0",0,2)</f>
        <v>19</v>
      </c>
      <c r="L11" s="6">
        <f t="shared" ca="1" si="0"/>
        <v>7</v>
      </c>
      <c r="M11" s="6">
        <f t="shared" ca="1" si="0"/>
        <v>43</v>
      </c>
      <c r="N11" s="6">
        <f t="shared" ca="1" si="0"/>
        <v>69</v>
      </c>
      <c r="O11" s="6" t="str">
        <f t="shared" ca="1" si="0"/>
        <v>B+</v>
      </c>
      <c r="P11" s="6">
        <f t="shared" ca="1" si="0"/>
        <v>3.25</v>
      </c>
    </row>
    <row r="12" spans="1:19" x14ac:dyDescent="0.25">
      <c r="A12">
        <v>55</v>
      </c>
      <c r="B12">
        <v>59</v>
      </c>
      <c r="C12" t="s">
        <v>9</v>
      </c>
      <c r="D12">
        <v>2.75</v>
      </c>
      <c r="F12" s="4" t="s">
        <v>44</v>
      </c>
      <c r="G12" s="8" t="s">
        <v>47</v>
      </c>
      <c r="I12" s="21" t="s">
        <v>25</v>
      </c>
      <c r="J12" s="6">
        <f ca="1">_xlfn.XLOOKUP($J$7,$B$23:$B$32,K$23:K$32,"0",0,2)</f>
        <v>2</v>
      </c>
      <c r="K12" s="6">
        <f t="shared" ref="K12:P12" ca="1" si="1">_xlfn.XLOOKUP($J$7,$B$23:$B$32,L$23:L$32,"0",0,2)</f>
        <v>20</v>
      </c>
      <c r="L12" s="6">
        <f t="shared" ca="1" si="1"/>
        <v>1</v>
      </c>
      <c r="M12" s="6">
        <f t="shared" ca="1" si="1"/>
        <v>32</v>
      </c>
      <c r="N12" s="6">
        <f t="shared" ca="1" si="1"/>
        <v>55</v>
      </c>
      <c r="O12" s="6" t="str">
        <f t="shared" ca="1" si="1"/>
        <v>B-</v>
      </c>
      <c r="P12" s="6">
        <f t="shared" ca="1" si="1"/>
        <v>2.75</v>
      </c>
    </row>
    <row r="13" spans="1:19" x14ac:dyDescent="0.25">
      <c r="A13">
        <v>60</v>
      </c>
      <c r="B13">
        <v>64</v>
      </c>
      <c r="C13" t="s">
        <v>7</v>
      </c>
      <c r="D13">
        <v>3</v>
      </c>
      <c r="F13" s="4" t="s">
        <v>45</v>
      </c>
      <c r="G13" s="8">
        <v>25</v>
      </c>
      <c r="I13" s="19"/>
      <c r="J13" s="19"/>
      <c r="K13" s="19"/>
      <c r="L13" s="19"/>
      <c r="M13" s="19"/>
      <c r="N13" s="19"/>
      <c r="O13" s="19"/>
      <c r="P13" s="19"/>
    </row>
    <row r="14" spans="1:19" x14ac:dyDescent="0.25">
      <c r="A14">
        <v>65</v>
      </c>
      <c r="B14">
        <v>69</v>
      </c>
      <c r="C14" t="s">
        <v>8</v>
      </c>
      <c r="D14">
        <v>3.25</v>
      </c>
      <c r="F14" s="9"/>
      <c r="G14" s="9"/>
      <c r="I14" s="19"/>
      <c r="J14" s="19"/>
      <c r="K14" s="22" t="s">
        <v>49</v>
      </c>
      <c r="L14" s="4" t="s">
        <v>0</v>
      </c>
      <c r="M14" s="4">
        <f ca="1">AVERAGE(P11:P12)</f>
        <v>3</v>
      </c>
      <c r="N14" s="19"/>
      <c r="O14" s="19"/>
      <c r="P14" s="19"/>
    </row>
    <row r="15" spans="1:19" x14ac:dyDescent="0.25">
      <c r="A15">
        <v>70</v>
      </c>
      <c r="B15">
        <v>74</v>
      </c>
      <c r="C15" t="s">
        <v>6</v>
      </c>
      <c r="D15">
        <v>3.5</v>
      </c>
      <c r="F15" s="9"/>
      <c r="G15" s="9"/>
      <c r="I15" s="19"/>
      <c r="J15" s="19"/>
      <c r="K15" s="22"/>
      <c r="L15" s="23" t="s">
        <v>27</v>
      </c>
      <c r="M15" s="24" t="str">
        <f ca="1">_xlfn.XLOOKUP(M14,Table2[Point],Table2[Grade],0,-1,2)</f>
        <v>B</v>
      </c>
      <c r="N15" s="19"/>
      <c r="O15" s="19"/>
      <c r="P15" s="19"/>
    </row>
    <row r="16" spans="1:19" x14ac:dyDescent="0.25">
      <c r="A16">
        <v>75</v>
      </c>
      <c r="B16">
        <v>79</v>
      </c>
      <c r="C16" t="s">
        <v>5</v>
      </c>
      <c r="D16">
        <v>3.75</v>
      </c>
      <c r="I16" s="19"/>
      <c r="J16" s="19"/>
      <c r="K16" s="19"/>
      <c r="L16" s="19"/>
      <c r="M16" s="19"/>
      <c r="N16" s="19"/>
      <c r="O16" s="19"/>
      <c r="P16" s="19"/>
    </row>
    <row r="17" spans="1:19" x14ac:dyDescent="0.25">
      <c r="A17">
        <v>80</v>
      </c>
      <c r="B17">
        <v>100</v>
      </c>
      <c r="C17" t="s">
        <v>4</v>
      </c>
      <c r="D17">
        <v>4</v>
      </c>
    </row>
    <row r="20" spans="1:19" ht="24" x14ac:dyDescent="0.4">
      <c r="A20" s="14" t="s">
        <v>15</v>
      </c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" t="s">
        <v>16</v>
      </c>
      <c r="B21" s="1" t="s">
        <v>17</v>
      </c>
      <c r="C21" s="1" t="s">
        <v>18</v>
      </c>
      <c r="D21" s="13" t="s">
        <v>24</v>
      </c>
      <c r="E21" s="13"/>
      <c r="F21" s="13"/>
      <c r="G21" s="13"/>
      <c r="H21" s="13"/>
      <c r="I21" s="2"/>
      <c r="J21" s="2"/>
      <c r="K21" s="15" t="s">
        <v>25</v>
      </c>
      <c r="L21" s="15"/>
      <c r="M21" s="15"/>
      <c r="N21" s="15"/>
      <c r="O21" s="15"/>
      <c r="P21" s="15"/>
      <c r="Q21" s="15"/>
      <c r="R21" s="16" t="s">
        <v>28</v>
      </c>
      <c r="S21" s="17"/>
    </row>
    <row r="22" spans="1:19" x14ac:dyDescent="0.25">
      <c r="A22" s="1"/>
      <c r="B22" s="1"/>
      <c r="C22" s="1"/>
      <c r="D22" s="1" t="s">
        <v>21</v>
      </c>
      <c r="E22" s="1" t="s">
        <v>19</v>
      </c>
      <c r="F22" s="1" t="s">
        <v>20</v>
      </c>
      <c r="G22" s="1" t="s">
        <v>22</v>
      </c>
      <c r="H22" s="1" t="s">
        <v>23</v>
      </c>
      <c r="I22" s="1" t="s">
        <v>0</v>
      </c>
      <c r="J22" s="1" t="s">
        <v>26</v>
      </c>
      <c r="K22" s="1" t="s">
        <v>21</v>
      </c>
      <c r="L22" s="1" t="s">
        <v>19</v>
      </c>
      <c r="M22" s="1" t="s">
        <v>20</v>
      </c>
      <c r="N22" s="1" t="s">
        <v>22</v>
      </c>
      <c r="O22" s="1" t="s">
        <v>23</v>
      </c>
      <c r="P22" s="1" t="s">
        <v>0</v>
      </c>
      <c r="Q22" s="1" t="s">
        <v>26</v>
      </c>
      <c r="R22" s="1" t="s">
        <v>0</v>
      </c>
      <c r="S22" s="1" t="s">
        <v>27</v>
      </c>
    </row>
    <row r="23" spans="1:19" x14ac:dyDescent="0.25">
      <c r="A23" s="3">
        <v>1</v>
      </c>
      <c r="B23" s="3">
        <v>114</v>
      </c>
      <c r="C23" s="3" t="s">
        <v>29</v>
      </c>
      <c r="D23" s="3">
        <f ca="1">RANDBETWEEN(0,10)</f>
        <v>5</v>
      </c>
      <c r="E23" s="3">
        <f ca="1">RANDBETWEEN(8,30)</f>
        <v>8</v>
      </c>
      <c r="F23" s="3">
        <f ca="1">RANDBETWEEN(0,10)</f>
        <v>1</v>
      </c>
      <c r="G23" s="3">
        <f ca="1">RANDBETWEEN(20,50)</f>
        <v>37</v>
      </c>
      <c r="H23" s="3">
        <f ca="1">SUM(D23:G23)</f>
        <v>51</v>
      </c>
      <c r="I23" s="3" t="str">
        <f ca="1">VLOOKUP(H23,Table2[[Min]:[Grade]],3,TRUE)</f>
        <v>C+</v>
      </c>
      <c r="J23" s="3">
        <f ca="1">VLOOKUP(I23,Table2[[Grade]:[Point]],2,FALSE)</f>
        <v>2.5</v>
      </c>
      <c r="K23" s="3">
        <f ca="1">RANDBETWEEN(0,10)</f>
        <v>9</v>
      </c>
      <c r="L23" s="3">
        <f ca="1">RANDBETWEEN(8,30)</f>
        <v>25</v>
      </c>
      <c r="M23" s="3">
        <f ca="1">RANDBETWEEN(0,10)</f>
        <v>3</v>
      </c>
      <c r="N23" s="3">
        <f ca="1">RANDBETWEEN(20,50)</f>
        <v>48</v>
      </c>
      <c r="O23" s="3">
        <f ca="1">SUM(K23:N23)</f>
        <v>85</v>
      </c>
      <c r="P23" s="3" t="str">
        <f ca="1">VLOOKUP(O23,Table2[[Min]:[Grade]], 3,TRUE)</f>
        <v>A+</v>
      </c>
      <c r="Q23" s="3">
        <f ca="1">VLOOKUP(P23,Table2[[Grade]:[Point]],2,FALSE)</f>
        <v>4</v>
      </c>
      <c r="R23" s="3" t="str">
        <f ca="1">_xlfn.XLOOKUP(S23,Table2[Point],Table2[Grade],0,-1,2)</f>
        <v>B+</v>
      </c>
      <c r="S23" s="3">
        <f ca="1">AVERAGE(J23,Q23)</f>
        <v>3.25</v>
      </c>
    </row>
    <row r="24" spans="1:19" x14ac:dyDescent="0.25">
      <c r="A24" s="3">
        <v>2</v>
      </c>
      <c r="B24" s="3">
        <v>118</v>
      </c>
      <c r="C24" s="3" t="s">
        <v>30</v>
      </c>
      <c r="D24" s="3">
        <f t="shared" ref="D24:D32" ca="1" si="2">RANDBETWEEN(0,10)</f>
        <v>0</v>
      </c>
      <c r="E24" s="3">
        <f t="shared" ref="E24:E32" ca="1" si="3">RANDBETWEEN(8,30)</f>
        <v>19</v>
      </c>
      <c r="F24" s="3">
        <f t="shared" ref="F24:F32" ca="1" si="4">RANDBETWEEN(0,10)</f>
        <v>7</v>
      </c>
      <c r="G24" s="3">
        <f t="shared" ref="G24:G32" ca="1" si="5">RANDBETWEEN(20,50)</f>
        <v>43</v>
      </c>
      <c r="H24" s="3">
        <f t="shared" ref="H24:H32" ca="1" si="6">SUM(D24:G24)</f>
        <v>69</v>
      </c>
      <c r="I24" s="3" t="str">
        <f ca="1">VLOOKUP(H24,Table2[[Min]:[Grade]],3,TRUE)</f>
        <v>B+</v>
      </c>
      <c r="J24" s="3">
        <f ca="1">VLOOKUP(I24,Table2[[Grade]:[Point]],2,FALSE)</f>
        <v>3.25</v>
      </c>
      <c r="K24" s="3">
        <f t="shared" ref="K24:K32" ca="1" si="7">RANDBETWEEN(0,10)</f>
        <v>2</v>
      </c>
      <c r="L24" s="3">
        <f t="shared" ref="L24:L32" ca="1" si="8">RANDBETWEEN(8,30)</f>
        <v>20</v>
      </c>
      <c r="M24" s="3">
        <f t="shared" ref="M24:M32" ca="1" si="9">RANDBETWEEN(0,10)</f>
        <v>1</v>
      </c>
      <c r="N24" s="3">
        <f t="shared" ref="N24:N32" ca="1" si="10">RANDBETWEEN(20,50)</f>
        <v>32</v>
      </c>
      <c r="O24" s="3">
        <f t="shared" ref="O24:O32" ca="1" si="11">SUM(K24:N24)</f>
        <v>55</v>
      </c>
      <c r="P24" s="3" t="str">
        <f ca="1">VLOOKUP(O24,Table2[[Min]:[Grade]], 3,TRUE)</f>
        <v>B-</v>
      </c>
      <c r="Q24" s="3">
        <f ca="1">VLOOKUP(P24,Table2[[Grade]:[Point]],2,FALSE)</f>
        <v>2.75</v>
      </c>
      <c r="R24" s="3" t="str">
        <f ca="1">_xlfn.XLOOKUP(S24,Table2[Point],Table2[Grade],0,-1,2)</f>
        <v>B</v>
      </c>
      <c r="S24" s="3">
        <f t="shared" ref="S24:S32" ca="1" si="12">AVERAGE(J24,Q24)</f>
        <v>3</v>
      </c>
    </row>
    <row r="25" spans="1:19" x14ac:dyDescent="0.25">
      <c r="A25" s="3">
        <v>3</v>
      </c>
      <c r="B25" s="3">
        <v>148</v>
      </c>
      <c r="C25" s="3" t="s">
        <v>31</v>
      </c>
      <c r="D25" s="3">
        <f t="shared" ca="1" si="2"/>
        <v>10</v>
      </c>
      <c r="E25" s="3">
        <f t="shared" ca="1" si="3"/>
        <v>10</v>
      </c>
      <c r="F25" s="3">
        <f t="shared" ca="1" si="4"/>
        <v>3</v>
      </c>
      <c r="G25" s="3">
        <f t="shared" ca="1" si="5"/>
        <v>45</v>
      </c>
      <c r="H25" s="3">
        <f t="shared" ca="1" si="6"/>
        <v>68</v>
      </c>
      <c r="I25" s="3" t="str">
        <f ca="1">VLOOKUP(H25,Table2[[Min]:[Grade]],3,TRUE)</f>
        <v>B+</v>
      </c>
      <c r="J25" s="3">
        <f ca="1">VLOOKUP(I25,Table2[[Grade]:[Point]],2,FALSE)</f>
        <v>3.25</v>
      </c>
      <c r="K25" s="3">
        <f t="shared" ca="1" si="7"/>
        <v>1</v>
      </c>
      <c r="L25" s="3">
        <f t="shared" ca="1" si="8"/>
        <v>29</v>
      </c>
      <c r="M25" s="3">
        <f t="shared" ca="1" si="9"/>
        <v>9</v>
      </c>
      <c r="N25" s="3">
        <f t="shared" ca="1" si="10"/>
        <v>48</v>
      </c>
      <c r="O25" s="3">
        <f t="shared" ca="1" si="11"/>
        <v>87</v>
      </c>
      <c r="P25" s="3" t="str">
        <f ca="1">VLOOKUP(O25,Table2[[Min]:[Grade]], 3,TRUE)</f>
        <v>A+</v>
      </c>
      <c r="Q25" s="3">
        <f ca="1">VLOOKUP(P25,Table2[[Grade]:[Point]],2,FALSE)</f>
        <v>4</v>
      </c>
      <c r="R25" s="3" t="str">
        <f ca="1">_xlfn.XLOOKUP(S25,Table2[Point],Table2[Grade],0,-1,2)</f>
        <v>A-</v>
      </c>
      <c r="S25" s="3">
        <f t="shared" ca="1" si="12"/>
        <v>3.625</v>
      </c>
    </row>
    <row r="26" spans="1:19" x14ac:dyDescent="0.25">
      <c r="A26" s="3">
        <v>4</v>
      </c>
      <c r="B26" s="3">
        <v>175</v>
      </c>
      <c r="C26" s="3" t="s">
        <v>32</v>
      </c>
      <c r="D26" s="3">
        <f t="shared" ca="1" si="2"/>
        <v>7</v>
      </c>
      <c r="E26" s="3">
        <f t="shared" ca="1" si="3"/>
        <v>26</v>
      </c>
      <c r="F26" s="3">
        <f t="shared" ca="1" si="4"/>
        <v>1</v>
      </c>
      <c r="G26" s="3">
        <f t="shared" ca="1" si="5"/>
        <v>33</v>
      </c>
      <c r="H26" s="3">
        <f t="shared" ca="1" si="6"/>
        <v>67</v>
      </c>
      <c r="I26" s="3" t="str">
        <f ca="1">VLOOKUP(H26,Table2[[Min]:[Grade]],3,TRUE)</f>
        <v>B+</v>
      </c>
      <c r="J26" s="3">
        <f ca="1">VLOOKUP(I26,Table2[[Grade]:[Point]],2,FALSE)</f>
        <v>3.25</v>
      </c>
      <c r="K26" s="3">
        <f t="shared" ca="1" si="7"/>
        <v>8</v>
      </c>
      <c r="L26" s="3">
        <f t="shared" ca="1" si="8"/>
        <v>30</v>
      </c>
      <c r="M26" s="3">
        <f t="shared" ca="1" si="9"/>
        <v>6</v>
      </c>
      <c r="N26" s="3">
        <f t="shared" ca="1" si="10"/>
        <v>47</v>
      </c>
      <c r="O26" s="3">
        <f t="shared" ca="1" si="11"/>
        <v>91</v>
      </c>
      <c r="P26" s="3" t="str">
        <f ca="1">VLOOKUP(O26,Table2[[Min]:[Grade]], 3,TRUE)</f>
        <v>A+</v>
      </c>
      <c r="Q26" s="3">
        <f ca="1">VLOOKUP(P26,Table2[[Grade]:[Point]],2,FALSE)</f>
        <v>4</v>
      </c>
      <c r="R26" s="3" t="str">
        <f ca="1">_xlfn.XLOOKUP(S26,Table2[Point],Table2[Grade],0,-1,2)</f>
        <v>A-</v>
      </c>
      <c r="S26" s="3">
        <f t="shared" ca="1" si="12"/>
        <v>3.625</v>
      </c>
    </row>
    <row r="27" spans="1:19" x14ac:dyDescent="0.25">
      <c r="A27" s="3">
        <v>5</v>
      </c>
      <c r="B27" s="3">
        <v>176</v>
      </c>
      <c r="C27" s="3" t="s">
        <v>33</v>
      </c>
      <c r="D27" s="3">
        <f t="shared" ca="1" si="2"/>
        <v>7</v>
      </c>
      <c r="E27" s="3">
        <f t="shared" ca="1" si="3"/>
        <v>30</v>
      </c>
      <c r="F27" s="3">
        <f t="shared" ca="1" si="4"/>
        <v>9</v>
      </c>
      <c r="G27" s="3">
        <f t="shared" ca="1" si="5"/>
        <v>40</v>
      </c>
      <c r="H27" s="3">
        <f t="shared" ca="1" si="6"/>
        <v>86</v>
      </c>
      <c r="I27" s="3" t="str">
        <f ca="1">VLOOKUP(H27,Table2[[Min]:[Grade]],3,TRUE)</f>
        <v>A+</v>
      </c>
      <c r="J27" s="3">
        <f ca="1">VLOOKUP(I27,Table2[[Grade]:[Point]],2,FALSE)</f>
        <v>4</v>
      </c>
      <c r="K27" s="3">
        <f t="shared" ca="1" si="7"/>
        <v>7</v>
      </c>
      <c r="L27" s="3">
        <f t="shared" ca="1" si="8"/>
        <v>13</v>
      </c>
      <c r="M27" s="3">
        <f t="shared" ca="1" si="9"/>
        <v>7</v>
      </c>
      <c r="N27" s="3">
        <f t="shared" ca="1" si="10"/>
        <v>29</v>
      </c>
      <c r="O27" s="3">
        <f t="shared" ca="1" si="11"/>
        <v>56</v>
      </c>
      <c r="P27" s="3" t="str">
        <f ca="1">VLOOKUP(O27,Table2[[Min]:[Grade]], 3,TRUE)</f>
        <v>B-</v>
      </c>
      <c r="Q27" s="3">
        <f ca="1">VLOOKUP(P27,Table2[[Grade]:[Point]],2,FALSE)</f>
        <v>2.75</v>
      </c>
      <c r="R27" s="3" t="str">
        <f ca="1">_xlfn.XLOOKUP(S27,Table2[Point],Table2[Grade],0,-1,2)</f>
        <v>B+</v>
      </c>
      <c r="S27" s="3">
        <f t="shared" ca="1" si="12"/>
        <v>3.375</v>
      </c>
    </row>
    <row r="28" spans="1:19" x14ac:dyDescent="0.25">
      <c r="A28" s="3">
        <v>6</v>
      </c>
      <c r="B28" s="3">
        <v>142</v>
      </c>
      <c r="C28" s="3" t="s">
        <v>34</v>
      </c>
      <c r="D28" s="3">
        <f t="shared" ca="1" si="2"/>
        <v>0</v>
      </c>
      <c r="E28" s="3">
        <f t="shared" ca="1" si="3"/>
        <v>26</v>
      </c>
      <c r="F28" s="3">
        <f t="shared" ca="1" si="4"/>
        <v>9</v>
      </c>
      <c r="G28" s="3">
        <f t="shared" ca="1" si="5"/>
        <v>47</v>
      </c>
      <c r="H28" s="3">
        <f t="shared" ca="1" si="6"/>
        <v>82</v>
      </c>
      <c r="I28" s="3" t="str">
        <f ca="1">VLOOKUP(H28,Table2[[Min]:[Grade]],3,TRUE)</f>
        <v>A+</v>
      </c>
      <c r="J28" s="3">
        <f ca="1">VLOOKUP(I28,Table2[[Grade]:[Point]],2,FALSE)</f>
        <v>4</v>
      </c>
      <c r="K28" s="3">
        <f t="shared" ca="1" si="7"/>
        <v>3</v>
      </c>
      <c r="L28" s="3">
        <f t="shared" ca="1" si="8"/>
        <v>8</v>
      </c>
      <c r="M28" s="3">
        <f t="shared" ca="1" si="9"/>
        <v>6</v>
      </c>
      <c r="N28" s="3">
        <f t="shared" ca="1" si="10"/>
        <v>30</v>
      </c>
      <c r="O28" s="3">
        <f t="shared" ca="1" si="11"/>
        <v>47</v>
      </c>
      <c r="P28" s="3" t="str">
        <f ca="1">VLOOKUP(O28,Table2[[Min]:[Grade]], 3,TRUE)</f>
        <v>C</v>
      </c>
      <c r="Q28" s="3">
        <f ca="1">VLOOKUP(P28,Table2[[Grade]:[Point]],2,FALSE)</f>
        <v>2.25</v>
      </c>
      <c r="R28" s="3" t="str">
        <f ca="1">_xlfn.XLOOKUP(S28,Table2[Point],Table2[Grade],0,-1,2)</f>
        <v>B</v>
      </c>
      <c r="S28" s="3">
        <f t="shared" ca="1" si="12"/>
        <v>3.125</v>
      </c>
    </row>
    <row r="29" spans="1:19" x14ac:dyDescent="0.25">
      <c r="A29" s="3">
        <v>7</v>
      </c>
      <c r="B29" s="3">
        <v>198</v>
      </c>
      <c r="C29" s="3" t="s">
        <v>35</v>
      </c>
      <c r="D29" s="3">
        <f t="shared" ca="1" si="2"/>
        <v>1</v>
      </c>
      <c r="E29" s="3">
        <f t="shared" ca="1" si="3"/>
        <v>13</v>
      </c>
      <c r="F29" s="3">
        <f t="shared" ca="1" si="4"/>
        <v>0</v>
      </c>
      <c r="G29" s="3">
        <f t="shared" ca="1" si="5"/>
        <v>44</v>
      </c>
      <c r="H29" s="3">
        <f t="shared" ca="1" si="6"/>
        <v>58</v>
      </c>
      <c r="I29" s="3" t="str">
        <f ca="1">VLOOKUP(H29,Table2[[Min]:[Grade]],3,TRUE)</f>
        <v>B-</v>
      </c>
      <c r="J29" s="3">
        <f ca="1">VLOOKUP(I29,Table2[[Grade]:[Point]],2,FALSE)</f>
        <v>2.75</v>
      </c>
      <c r="K29" s="3">
        <f t="shared" ca="1" si="7"/>
        <v>7</v>
      </c>
      <c r="L29" s="3">
        <f t="shared" ca="1" si="8"/>
        <v>21</v>
      </c>
      <c r="M29" s="3">
        <f t="shared" ca="1" si="9"/>
        <v>0</v>
      </c>
      <c r="N29" s="3">
        <f t="shared" ca="1" si="10"/>
        <v>33</v>
      </c>
      <c r="O29" s="3">
        <f t="shared" ca="1" si="11"/>
        <v>61</v>
      </c>
      <c r="P29" s="3" t="str">
        <f ca="1">VLOOKUP(O29,Table2[[Min]:[Grade]], 3,TRUE)</f>
        <v>B</v>
      </c>
      <c r="Q29" s="3">
        <f ca="1">VLOOKUP(P29,Table2[[Grade]:[Point]],2,FALSE)</f>
        <v>3</v>
      </c>
      <c r="R29" s="3" t="str">
        <f ca="1">_xlfn.XLOOKUP(S29,Table2[Point],Table2[Grade],0,-1,2)</f>
        <v>B-</v>
      </c>
      <c r="S29" s="3">
        <f t="shared" ca="1" si="12"/>
        <v>2.875</v>
      </c>
    </row>
    <row r="30" spans="1:19" x14ac:dyDescent="0.25">
      <c r="A30" s="3">
        <v>8</v>
      </c>
      <c r="B30" s="3">
        <v>199</v>
      </c>
      <c r="C30" s="3" t="s">
        <v>36</v>
      </c>
      <c r="D30" s="3">
        <f t="shared" ca="1" si="2"/>
        <v>7</v>
      </c>
      <c r="E30" s="3">
        <f t="shared" ca="1" si="3"/>
        <v>30</v>
      </c>
      <c r="F30" s="3">
        <f t="shared" ca="1" si="4"/>
        <v>6</v>
      </c>
      <c r="G30" s="3">
        <f t="shared" ca="1" si="5"/>
        <v>27</v>
      </c>
      <c r="H30" s="3">
        <f t="shared" ca="1" si="6"/>
        <v>70</v>
      </c>
      <c r="I30" s="3" t="str">
        <f ca="1">VLOOKUP(H30,Table2[[Min]:[Grade]],3,TRUE)</f>
        <v>A-</v>
      </c>
      <c r="J30" s="3">
        <f ca="1">VLOOKUP(I30,Table2[[Grade]:[Point]],2,FALSE)</f>
        <v>3.5</v>
      </c>
      <c r="K30" s="3">
        <f t="shared" ca="1" si="7"/>
        <v>10</v>
      </c>
      <c r="L30" s="3">
        <f t="shared" ca="1" si="8"/>
        <v>26</v>
      </c>
      <c r="M30" s="3">
        <f t="shared" ca="1" si="9"/>
        <v>9</v>
      </c>
      <c r="N30" s="3">
        <f t="shared" ca="1" si="10"/>
        <v>43</v>
      </c>
      <c r="O30" s="3">
        <f t="shared" ca="1" si="11"/>
        <v>88</v>
      </c>
      <c r="P30" s="3" t="str">
        <f ca="1">VLOOKUP(O30,Table2[[Min]:[Grade]], 3,TRUE)</f>
        <v>A+</v>
      </c>
      <c r="Q30" s="3">
        <f ca="1">VLOOKUP(P30,Table2[[Grade]:[Point]],2,FALSE)</f>
        <v>4</v>
      </c>
      <c r="R30" s="3" t="str">
        <f ca="1">_xlfn.XLOOKUP(S30,Table2[Point],Table2[Grade],0,-1,2)</f>
        <v>A</v>
      </c>
      <c r="S30" s="3">
        <f t="shared" ca="1" si="12"/>
        <v>3.75</v>
      </c>
    </row>
    <row r="31" spans="1:19" x14ac:dyDescent="0.25">
      <c r="A31" s="3">
        <v>9</v>
      </c>
      <c r="B31" s="3">
        <v>143</v>
      </c>
      <c r="C31" s="3" t="s">
        <v>37</v>
      </c>
      <c r="D31" s="3">
        <f t="shared" ca="1" si="2"/>
        <v>8</v>
      </c>
      <c r="E31" s="3">
        <f t="shared" ca="1" si="3"/>
        <v>26</v>
      </c>
      <c r="F31" s="3">
        <f t="shared" ca="1" si="4"/>
        <v>6</v>
      </c>
      <c r="G31" s="3">
        <f t="shared" ca="1" si="5"/>
        <v>41</v>
      </c>
      <c r="H31" s="3">
        <f t="shared" ca="1" si="6"/>
        <v>81</v>
      </c>
      <c r="I31" s="3" t="str">
        <f ca="1">VLOOKUP(H31,Table2[[Min]:[Grade]],3,TRUE)</f>
        <v>A+</v>
      </c>
      <c r="J31" s="3">
        <f ca="1">VLOOKUP(I31,Table2[[Grade]:[Point]],2,FALSE)</f>
        <v>4</v>
      </c>
      <c r="K31" s="3">
        <f t="shared" ca="1" si="7"/>
        <v>9</v>
      </c>
      <c r="L31" s="3">
        <f t="shared" ca="1" si="8"/>
        <v>13</v>
      </c>
      <c r="M31" s="3">
        <f t="shared" ca="1" si="9"/>
        <v>9</v>
      </c>
      <c r="N31" s="3">
        <f t="shared" ca="1" si="10"/>
        <v>42</v>
      </c>
      <c r="O31" s="3">
        <f t="shared" ca="1" si="11"/>
        <v>73</v>
      </c>
      <c r="P31" s="3" t="str">
        <f ca="1">VLOOKUP(O31,Table2[[Min]:[Grade]], 3,TRUE)</f>
        <v>A-</v>
      </c>
      <c r="Q31" s="3">
        <f ca="1">VLOOKUP(P31,Table2[[Grade]:[Point]],2,FALSE)</f>
        <v>3.5</v>
      </c>
      <c r="R31" s="3" t="str">
        <f ca="1">_xlfn.XLOOKUP(S31,Table2[Point],Table2[Grade],0,-1,2)</f>
        <v>A</v>
      </c>
      <c r="S31" s="3">
        <f t="shared" ca="1" si="12"/>
        <v>3.75</v>
      </c>
    </row>
    <row r="32" spans="1:19" x14ac:dyDescent="0.25">
      <c r="A32" s="3">
        <v>10</v>
      </c>
      <c r="B32" s="3">
        <v>185</v>
      </c>
      <c r="C32" s="3" t="s">
        <v>38</v>
      </c>
      <c r="D32" s="3">
        <f t="shared" ca="1" si="2"/>
        <v>8</v>
      </c>
      <c r="E32" s="3">
        <f t="shared" ca="1" si="3"/>
        <v>28</v>
      </c>
      <c r="F32" s="3">
        <f t="shared" ca="1" si="4"/>
        <v>8</v>
      </c>
      <c r="G32" s="3">
        <f t="shared" ca="1" si="5"/>
        <v>27</v>
      </c>
      <c r="H32" s="3">
        <f t="shared" ca="1" si="6"/>
        <v>71</v>
      </c>
      <c r="I32" s="3" t="str">
        <f ca="1">VLOOKUP(H32,Table2[[Min]:[Grade]],3,TRUE)</f>
        <v>A-</v>
      </c>
      <c r="J32" s="3">
        <f ca="1">VLOOKUP(I32,Table2[[Grade]:[Point]],2,FALSE)</f>
        <v>3.5</v>
      </c>
      <c r="K32" s="3">
        <f t="shared" ca="1" si="7"/>
        <v>3</v>
      </c>
      <c r="L32" s="3">
        <f t="shared" ca="1" si="8"/>
        <v>28</v>
      </c>
      <c r="M32" s="3">
        <f t="shared" ca="1" si="9"/>
        <v>9</v>
      </c>
      <c r="N32" s="3">
        <f t="shared" ca="1" si="10"/>
        <v>28</v>
      </c>
      <c r="O32" s="3">
        <f t="shared" ca="1" si="11"/>
        <v>68</v>
      </c>
      <c r="P32" s="3" t="str">
        <f ca="1">VLOOKUP(O32,Table2[[Min]:[Grade]], 3,TRUE)</f>
        <v>B+</v>
      </c>
      <c r="Q32" s="3">
        <f ca="1">VLOOKUP(P32,Table2[[Grade]:[Point]],2,FALSE)</f>
        <v>3.25</v>
      </c>
      <c r="R32" s="3" t="str">
        <f ca="1">_xlfn.XLOOKUP(S32,Table2[Point],Table2[Grade],0,-1,2)</f>
        <v>B+</v>
      </c>
      <c r="S32" s="3">
        <f t="shared" ca="1" si="12"/>
        <v>3.375</v>
      </c>
    </row>
  </sheetData>
  <mergeCells count="14">
    <mergeCell ref="A1:S1"/>
    <mergeCell ref="A2:S2"/>
    <mergeCell ref="A3:S3"/>
    <mergeCell ref="F6:G6"/>
    <mergeCell ref="F10:G10"/>
    <mergeCell ref="A6:D6"/>
    <mergeCell ref="D21:H21"/>
    <mergeCell ref="A20:S20"/>
    <mergeCell ref="K21:Q21"/>
    <mergeCell ref="R21:S21"/>
    <mergeCell ref="I6:P6"/>
    <mergeCell ref="J7:P7"/>
    <mergeCell ref="J8:P8"/>
    <mergeCell ref="K14:K15"/>
  </mergeCells>
  <phoneticPr fontId="7" type="noConversion"/>
  <dataValidations count="2">
    <dataValidation type="list" allowBlank="1" showInputMessage="1" showErrorMessage="1" sqref="G11" xr:uid="{A506C488-2F34-4DBE-84EA-498D0D7DCE15}">
      <formula1>"""1st Semister"",""2nd Semister"""</formula1>
    </dataValidation>
    <dataValidation type="list" allowBlank="1" showInputMessage="1" showErrorMessage="1" sqref="G12" xr:uid="{F2B96AC5-CB46-45B0-B0B4-CD2D1F8335D4}">
      <formula1>"""CT 1"", ""Mid Term"",""CT 2"",""Semister Final"""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>
                  <from>
                    <xdr:col>5</xdr:col>
                    <xdr:colOff>19050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Wasikul Amin Bipu</dc:creator>
  <cp:lastModifiedBy>Wasikul Amin Bipu</cp:lastModifiedBy>
  <cp:lastPrinted>2024-02-17T07:59:30Z</cp:lastPrinted>
  <dcterms:created xsi:type="dcterms:W3CDTF">2024-02-16T09:47:13Z</dcterms:created>
  <dcterms:modified xsi:type="dcterms:W3CDTF">2024-02-17T08:37:32Z</dcterms:modified>
</cp:coreProperties>
</file>